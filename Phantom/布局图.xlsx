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Documents\GitHub\PhantomProject\"/>
    </mc:Choice>
  </mc:AlternateContent>
  <xr:revisionPtr revIDLastSave="0" documentId="13_ncr:1_{EC57827F-DDBE-4541-8340-7B43A128CD39}" xr6:coauthVersionLast="47" xr6:coauthVersionMax="47" xr10:uidLastSave="{00000000-0000-0000-0000-000000000000}"/>
  <bookViews>
    <workbookView xWindow="-90" yWindow="0" windowWidth="32400" windowHeight="20970" xr2:uid="{00000000-000D-0000-FFFF-FFFF00000000}"/>
  </bookViews>
  <sheets>
    <sheet name="布局图V2" sheetId="3" r:id="rId1"/>
    <sheet name="Sheet1" sheetId="10" r:id="rId2"/>
    <sheet name="PARTY" sheetId="9" r:id="rId3"/>
    <sheet name="ENVIRONMENT" sheetId="8" r:id="rId4"/>
    <sheet name="PLAYER_STATUS" sheetId="5" r:id="rId5"/>
    <sheet name="TARGET_STATUS" sheetId="6" r:id="rId6"/>
    <sheet name="FOCUS_TARGET" sheetId="7" r:id="rId7"/>
    <sheet name="M.A.T.R.I.X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5" l="1"/>
  <c r="D29" i="5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2" i="9"/>
  <c r="E12" i="9"/>
  <c r="D12" i="9"/>
  <c r="D13" i="9"/>
  <c r="D14" i="9"/>
  <c r="D15" i="9"/>
  <c r="D16" i="9"/>
  <c r="E3" i="9"/>
  <c r="E4" i="9"/>
  <c r="E5" i="9"/>
  <c r="E6" i="9"/>
  <c r="E7" i="9"/>
  <c r="E8" i="9"/>
  <c r="E9" i="9"/>
  <c r="E10" i="9"/>
  <c r="E11" i="9"/>
  <c r="E13" i="9"/>
  <c r="E14" i="9"/>
  <c r="E15" i="9"/>
  <c r="E16" i="9"/>
  <c r="E2" i="9"/>
  <c r="B16" i="9"/>
  <c r="C12" i="9"/>
  <c r="C13" i="9"/>
  <c r="C14" i="9"/>
  <c r="C15" i="9"/>
  <c r="C16" i="9"/>
  <c r="B15" i="9"/>
  <c r="B14" i="9"/>
  <c r="B13" i="9"/>
  <c r="B12" i="9"/>
  <c r="D4" i="9"/>
  <c r="D5" i="9"/>
  <c r="D6" i="9"/>
  <c r="D7" i="9"/>
  <c r="D8" i="9"/>
  <c r="D9" i="9"/>
  <c r="D10" i="9"/>
  <c r="D11" i="9"/>
  <c r="D3" i="9"/>
  <c r="D2" i="9"/>
  <c r="C2" i="9"/>
  <c r="C3" i="9"/>
  <c r="C4" i="9"/>
  <c r="C5" i="9"/>
  <c r="C6" i="9"/>
  <c r="C7" i="9"/>
  <c r="C8" i="9"/>
  <c r="C9" i="9"/>
  <c r="C10" i="9"/>
  <c r="C11" i="9"/>
  <c r="F8" i="9"/>
  <c r="F7" i="9"/>
  <c r="F6" i="9"/>
  <c r="F1" i="9"/>
  <c r="E1" i="9"/>
  <c r="D1" i="9"/>
  <c r="C1" i="9"/>
  <c r="B1" i="9"/>
  <c r="A1" i="9"/>
  <c r="D2" i="8"/>
  <c r="A20" i="8"/>
  <c r="A21" i="8"/>
  <c r="A23" i="8"/>
  <c r="A22" i="8"/>
  <c r="D14" i="8"/>
  <c r="D15" i="8"/>
  <c r="D16" i="8"/>
  <c r="D17" i="8"/>
  <c r="D18" i="8"/>
  <c r="D19" i="8"/>
  <c r="D20" i="8"/>
  <c r="D21" i="8"/>
  <c r="D22" i="8"/>
  <c r="D23" i="8"/>
  <c r="D4" i="8"/>
  <c r="D5" i="8"/>
  <c r="D6" i="8"/>
  <c r="D7" i="8"/>
  <c r="D8" i="8"/>
  <c r="D9" i="8"/>
  <c r="D10" i="8"/>
  <c r="D11" i="8"/>
  <c r="D12" i="8"/>
  <c r="D13" i="8"/>
  <c r="A8" i="8"/>
  <c r="A7" i="8"/>
  <c r="A6" i="8"/>
  <c r="F5" i="8"/>
  <c r="F4" i="8"/>
  <c r="F3" i="8"/>
  <c r="B1" i="8"/>
  <c r="C1" i="8"/>
  <c r="F2" i="8"/>
  <c r="A5" i="8"/>
  <c r="A4" i="8"/>
  <c r="A3" i="8"/>
  <c r="A2" i="8"/>
  <c r="A1" i="8"/>
  <c r="E1" i="8"/>
  <c r="D1" i="8"/>
  <c r="F1" i="8"/>
  <c r="D3" i="8"/>
  <c r="C1" i="7"/>
  <c r="B1" i="7"/>
  <c r="A1" i="7"/>
  <c r="C1" i="6"/>
  <c r="B1" i="6"/>
  <c r="A1" i="5"/>
  <c r="A1" i="6"/>
  <c r="C1" i="5"/>
  <c r="B1" i="5"/>
  <c r="D1" i="7"/>
  <c r="E1" i="7"/>
  <c r="F1" i="7"/>
  <c r="D2" i="7"/>
  <c r="E2" i="7"/>
  <c r="F2" i="7"/>
  <c r="D3" i="7"/>
  <c r="E3" i="7"/>
  <c r="F3" i="7"/>
  <c r="D4" i="7"/>
  <c r="E4" i="7"/>
  <c r="F4" i="7"/>
  <c r="D5" i="7"/>
  <c r="E5" i="7"/>
  <c r="F5" i="7"/>
  <c r="D6" i="7"/>
  <c r="E6" i="7"/>
  <c r="F6" i="7"/>
  <c r="D7" i="7"/>
  <c r="E7" i="7"/>
  <c r="F7" i="7"/>
  <c r="D8" i="7"/>
  <c r="E8" i="7"/>
  <c r="F8" i="7"/>
  <c r="D9" i="7"/>
  <c r="E9" i="7"/>
  <c r="F9" i="7"/>
  <c r="D10" i="7"/>
  <c r="E10" i="7"/>
  <c r="F10" i="7"/>
  <c r="D11" i="7"/>
  <c r="E11" i="7"/>
  <c r="F11" i="7"/>
  <c r="D12" i="7"/>
  <c r="E12" i="7"/>
  <c r="F12" i="7"/>
  <c r="D13" i="7"/>
  <c r="E13" i="7"/>
  <c r="F13" i="7"/>
  <c r="D1" i="6"/>
  <c r="E1" i="6"/>
  <c r="F1" i="6"/>
  <c r="D2" i="6"/>
  <c r="E2" i="6"/>
  <c r="F2" i="6"/>
  <c r="D3" i="6"/>
  <c r="E3" i="6"/>
  <c r="F3" i="6"/>
  <c r="D4" i="6"/>
  <c r="E4" i="6"/>
  <c r="F4" i="6"/>
  <c r="D5" i="6"/>
  <c r="E5" i="6"/>
  <c r="F5" i="6"/>
  <c r="D6" i="6"/>
  <c r="E6" i="6"/>
  <c r="F6" i="6"/>
  <c r="D7" i="6"/>
  <c r="E7" i="6"/>
  <c r="F7" i="6"/>
  <c r="D8" i="6"/>
  <c r="E8" i="6"/>
  <c r="F8" i="6"/>
  <c r="D9" i="6"/>
  <c r="E9" i="6"/>
  <c r="F9" i="6"/>
  <c r="D10" i="6"/>
  <c r="E10" i="6"/>
  <c r="F10" i="6"/>
  <c r="D11" i="6"/>
  <c r="E11" i="6"/>
  <c r="F11" i="6"/>
  <c r="D12" i="6"/>
  <c r="E12" i="6"/>
  <c r="F12" i="6"/>
  <c r="D13" i="6"/>
  <c r="E13" i="6"/>
  <c r="F13" i="6"/>
  <c r="D1" i="5"/>
  <c r="E1" i="5"/>
  <c r="F1" i="5"/>
  <c r="D2" i="5"/>
  <c r="E2" i="5"/>
  <c r="F2" i="5"/>
  <c r="D3" i="5"/>
  <c r="E3" i="5"/>
  <c r="F3" i="5"/>
  <c r="D4" i="5"/>
  <c r="E4" i="5"/>
  <c r="F4" i="5"/>
  <c r="D5" i="5"/>
  <c r="E5" i="5"/>
  <c r="F5" i="5"/>
  <c r="D6" i="5"/>
  <c r="E6" i="5"/>
  <c r="F6" i="5"/>
  <c r="D7" i="5"/>
  <c r="E7" i="5"/>
  <c r="F7" i="5"/>
  <c r="D8" i="5"/>
  <c r="E8" i="5"/>
  <c r="F8" i="5"/>
  <c r="D9" i="5"/>
  <c r="E9" i="5"/>
  <c r="F9" i="5"/>
  <c r="D10" i="5"/>
  <c r="E10" i="5"/>
  <c r="F10" i="5"/>
  <c r="D11" i="5"/>
  <c r="E11" i="5"/>
  <c r="F11" i="5"/>
  <c r="D12" i="5"/>
  <c r="E12" i="5"/>
  <c r="F12" i="5"/>
  <c r="D13" i="5"/>
  <c r="E13" i="5"/>
  <c r="F13" i="5"/>
  <c r="D14" i="5"/>
  <c r="E14" i="5"/>
  <c r="F14" i="5"/>
  <c r="D15" i="5"/>
  <c r="E15" i="5"/>
  <c r="F15" i="5"/>
  <c r="D16" i="5"/>
  <c r="E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F24" i="5"/>
  <c r="D25" i="5"/>
  <c r="E25" i="5"/>
  <c r="F25" i="5"/>
  <c r="D26" i="5"/>
  <c r="E26" i="5"/>
  <c r="F26" i="5"/>
  <c r="D27" i="5"/>
  <c r="E27" i="5"/>
  <c r="F27" i="5"/>
  <c r="D28" i="5"/>
  <c r="E28" i="5"/>
  <c r="F28" i="5"/>
</calcChain>
</file>

<file path=xl/sharedStrings.xml><?xml version="1.0" encoding="utf-8"?>
<sst xmlns="http://schemas.openxmlformats.org/spreadsheetml/2006/main" count="1185" uniqueCount="381">
  <si>
    <t>冷却</t>
    <phoneticPr fontId="1" type="noConversion"/>
  </si>
  <si>
    <t>高亮</t>
    <phoneticPr fontId="1" type="noConversion"/>
  </si>
  <si>
    <t>可用</t>
    <phoneticPr fontId="1" type="noConversion"/>
  </si>
  <si>
    <t>玩家施法技能</t>
    <phoneticPr fontId="1" type="noConversion"/>
  </si>
  <si>
    <t>目标施法技能</t>
    <phoneticPr fontId="1" type="noConversion"/>
  </si>
  <si>
    <t>焦点的施法技能</t>
    <phoneticPr fontId="1" type="noConversion"/>
  </si>
  <si>
    <t>一件辅助</t>
    <phoneticPr fontId="1" type="noConversion"/>
  </si>
  <si>
    <t>持续</t>
    <phoneticPr fontId="1" type="noConversion"/>
  </si>
  <si>
    <t>ICON</t>
    <phoneticPr fontId="1" type="noConversion"/>
  </si>
  <si>
    <t>Party2</t>
    <phoneticPr fontId="1" type="noConversion"/>
  </si>
  <si>
    <t>h1</t>
    <phoneticPr fontId="1" type="noConversion"/>
  </si>
  <si>
    <t>h2</t>
  </si>
  <si>
    <t>h3</t>
  </si>
  <si>
    <t>h4</t>
  </si>
  <si>
    <t>h5</t>
  </si>
  <si>
    <t>raid2</t>
    <phoneticPr fontId="1" type="noConversion"/>
  </si>
  <si>
    <t>raid3</t>
  </si>
  <si>
    <t>raid4</t>
  </si>
  <si>
    <t>raid5</t>
  </si>
  <si>
    <t>raid6</t>
  </si>
  <si>
    <t>raid7</t>
  </si>
  <si>
    <t>raid8</t>
  </si>
  <si>
    <t>raid9</t>
  </si>
  <si>
    <t>raid10</t>
  </si>
  <si>
    <t>raid12</t>
  </si>
  <si>
    <t>raid13</t>
  </si>
  <si>
    <t>raid14</t>
  </si>
  <si>
    <t>raid15</t>
  </si>
  <si>
    <t>raid17</t>
  </si>
  <si>
    <t>raid18</t>
  </si>
  <si>
    <t>raid19</t>
  </si>
  <si>
    <t>raid20</t>
  </si>
  <si>
    <t>raid22</t>
  </si>
  <si>
    <t>raid23</t>
  </si>
  <si>
    <t>raid24</t>
  </si>
  <si>
    <t>raid25</t>
  </si>
  <si>
    <t>raid26</t>
  </si>
  <si>
    <t>raid27</t>
  </si>
  <si>
    <t>raid28</t>
  </si>
  <si>
    <t>raid29</t>
  </si>
  <si>
    <t>raid30</t>
  </si>
  <si>
    <t>标记位</t>
    <phoneticPr fontId="1" type="noConversion"/>
  </si>
  <si>
    <t>技能2</t>
    <phoneticPr fontId="1" type="noConversion"/>
  </si>
  <si>
    <t>技能3</t>
  </si>
  <si>
    <t>技能4</t>
  </si>
  <si>
    <t>技能5</t>
  </si>
  <si>
    <t>技能6</t>
  </si>
  <si>
    <t>技能7</t>
  </si>
  <si>
    <t>技能8</t>
  </si>
  <si>
    <t>技能9</t>
  </si>
  <si>
    <t>技能10</t>
  </si>
  <si>
    <t>技能11</t>
  </si>
  <si>
    <t>技能12</t>
  </si>
  <si>
    <t>技能13</t>
  </si>
  <si>
    <t>技能14</t>
  </si>
  <si>
    <t>技能15</t>
  </si>
  <si>
    <t>技能16</t>
  </si>
  <si>
    <t>技能17</t>
  </si>
  <si>
    <t>技能18</t>
  </si>
  <si>
    <t>技能19</t>
  </si>
  <si>
    <t>技能20</t>
  </si>
  <si>
    <t>技能21</t>
  </si>
  <si>
    <t>技能22</t>
  </si>
  <si>
    <t>技能23</t>
  </si>
  <si>
    <t>技能24</t>
  </si>
  <si>
    <t>技能25</t>
  </si>
  <si>
    <t>学会</t>
    <phoneticPr fontId="1" type="noConversion"/>
  </si>
  <si>
    <t>充能1</t>
    <phoneticPr fontId="1" type="noConversion"/>
  </si>
  <si>
    <t>充能2</t>
  </si>
  <si>
    <t>充能3</t>
  </si>
  <si>
    <t>充能4</t>
  </si>
  <si>
    <t>充能5</t>
  </si>
  <si>
    <t>icon</t>
    <phoneticPr fontId="15" type="noConversion"/>
  </si>
  <si>
    <t>技能</t>
    <phoneticPr fontId="15" type="noConversion"/>
  </si>
  <si>
    <t>爆</t>
    <phoneticPr fontId="15" type="noConversion"/>
  </si>
  <si>
    <t>EN</t>
    <phoneticPr fontId="15" type="noConversion"/>
  </si>
  <si>
    <t>文字检测</t>
    <phoneticPr fontId="15" type="noConversion"/>
  </si>
  <si>
    <t>冷却</t>
    <phoneticPr fontId="15" type="noConversion"/>
  </si>
  <si>
    <t>高亮</t>
    <phoneticPr fontId="15" type="noConversion"/>
  </si>
  <si>
    <t>白</t>
    <phoneticPr fontId="15" type="noConversion"/>
  </si>
  <si>
    <t>无法用</t>
    <phoneticPr fontId="15" type="noConversion"/>
  </si>
  <si>
    <t>不会</t>
    <phoneticPr fontId="15" type="noConversion"/>
  </si>
  <si>
    <t>mark</t>
    <phoneticPr fontId="15" type="noConversion"/>
  </si>
  <si>
    <t>玩家buff</t>
    <phoneticPr fontId="15" type="noConversion"/>
  </si>
  <si>
    <t>充能技能</t>
    <phoneticPr fontId="15" type="noConversion"/>
  </si>
  <si>
    <t>剩余</t>
    <phoneticPr fontId="15" type="noConversion"/>
  </si>
  <si>
    <t>类型</t>
    <phoneticPr fontId="15" type="noConversion"/>
  </si>
  <si>
    <t>类型</t>
  </si>
  <si>
    <t>层数</t>
    <phoneticPr fontId="15" type="noConversion"/>
  </si>
  <si>
    <t>充能</t>
    <phoneticPr fontId="15" type="noConversion"/>
  </si>
  <si>
    <t>玩家 x10 Debuff</t>
    <phoneticPr fontId="15" type="noConversion"/>
  </si>
  <si>
    <t>目标</t>
    <phoneticPr fontId="15" type="noConversion"/>
  </si>
  <si>
    <t>闪烁</t>
    <phoneticPr fontId="15" type="noConversion"/>
  </si>
  <si>
    <t>延迟</t>
    <phoneticPr fontId="15" type="noConversion"/>
  </si>
  <si>
    <t>战斗时间</t>
    <phoneticPr fontId="15" type="noConversion"/>
  </si>
  <si>
    <t>延迟窗口</t>
    <phoneticPr fontId="15" type="noConversion"/>
  </si>
  <si>
    <t>鼠标按下</t>
    <phoneticPr fontId="15" type="noConversion"/>
  </si>
  <si>
    <t>BOSS</t>
    <phoneticPr fontId="15" type="noConversion"/>
  </si>
  <si>
    <t>预留</t>
    <phoneticPr fontId="15" type="noConversion"/>
  </si>
  <si>
    <t>存在</t>
  </si>
  <si>
    <t>的职业</t>
  </si>
  <si>
    <t>的血量</t>
  </si>
  <si>
    <t>是敌人</t>
  </si>
  <si>
    <t>在远程范围</t>
  </si>
  <si>
    <t>在战斗中</t>
  </si>
  <si>
    <t>施法图标</t>
    <phoneticPr fontId="15" type="noConversion"/>
  </si>
  <si>
    <t>通道图标</t>
    <phoneticPr fontId="15" type="noConversion"/>
  </si>
  <si>
    <t>施法进度</t>
  </si>
  <si>
    <t>施法可打断</t>
  </si>
  <si>
    <t>存活</t>
  </si>
  <si>
    <t>的职责</t>
  </si>
  <si>
    <t>的能量</t>
  </si>
  <si>
    <t>可以攻击</t>
  </si>
  <si>
    <t>在近战范围</t>
  </si>
  <si>
    <t>是当前目标</t>
  </si>
  <si>
    <t>通道法术进度</t>
  </si>
  <si>
    <t>通道法术可打断</t>
  </si>
  <si>
    <t>setting</t>
    <phoneticPr fontId="15" type="noConversion"/>
  </si>
  <si>
    <t>spec</t>
    <phoneticPr fontId="15" type="noConversion"/>
  </si>
  <si>
    <t>宠物状态</t>
    <phoneticPr fontId="15" type="noConversion"/>
  </si>
  <si>
    <t>酒池</t>
    <phoneticPr fontId="15" type="noConversion"/>
  </si>
  <si>
    <t>资源点</t>
    <phoneticPr fontId="15" type="noConversion"/>
  </si>
  <si>
    <t>焦点 x10 Debuff</t>
    <phoneticPr fontId="15" type="noConversion"/>
  </si>
  <si>
    <t>鼠标指向 x10 Debuff</t>
    <phoneticPr fontId="15" type="noConversion"/>
  </si>
  <si>
    <t>一件辅助</t>
    <phoneticPr fontId="15" type="noConversion"/>
  </si>
  <si>
    <t>的职业</t>
    <phoneticPr fontId="15" type="noConversion"/>
  </si>
  <si>
    <t>的血量</t>
    <phoneticPr fontId="15" type="noConversion"/>
  </si>
  <si>
    <t>在战斗中</t>
    <phoneticPr fontId="15" type="noConversion"/>
  </si>
  <si>
    <t>重要减伤buff</t>
    <phoneticPr fontId="15" type="noConversion"/>
  </si>
  <si>
    <t>施法进度</t>
    <phoneticPr fontId="15" type="noConversion"/>
  </si>
  <si>
    <t>在
蓄力</t>
    <phoneticPr fontId="15" type="noConversion"/>
  </si>
  <si>
    <t>在
移动</t>
    <phoneticPr fontId="15" type="noConversion"/>
  </si>
  <si>
    <t>敌人数量</t>
    <phoneticPr fontId="15" type="noConversion"/>
  </si>
  <si>
    <t>对话框</t>
  </si>
  <si>
    <t>饰品1</t>
    <phoneticPr fontId="15" type="noConversion"/>
  </si>
  <si>
    <t>治疗石</t>
    <phoneticPr fontId="15" type="noConversion"/>
  </si>
  <si>
    <t>施法目标</t>
    <phoneticPr fontId="15" type="noConversion"/>
  </si>
  <si>
    <t>治疗吸收</t>
    <phoneticPr fontId="15" type="noConversion"/>
  </si>
  <si>
    <t>存活</t>
    <phoneticPr fontId="15" type="noConversion"/>
  </si>
  <si>
    <t>的职责</t>
    <phoneticPr fontId="15" type="noConversion"/>
  </si>
  <si>
    <t>的能量</t>
    <phoneticPr fontId="15" type="noConversion"/>
  </si>
  <si>
    <t>是当前目标</t>
    <phoneticPr fontId="15" type="noConversion"/>
  </si>
  <si>
    <t>可驱散debuff</t>
    <phoneticPr fontId="15" type="noConversion"/>
  </si>
  <si>
    <t>通道法术进度</t>
    <phoneticPr fontId="15" type="noConversion"/>
  </si>
  <si>
    <t>蓄力阶段</t>
    <phoneticPr fontId="15" type="noConversion"/>
  </si>
  <si>
    <t>在
坐骑</t>
    <phoneticPr fontId="15" type="noConversion"/>
  </si>
  <si>
    <t>选择目标</t>
    <phoneticPr fontId="15" type="noConversion"/>
  </si>
  <si>
    <t>队伍/团队状态</t>
    <phoneticPr fontId="15" type="noConversion"/>
  </si>
  <si>
    <t>饰品2</t>
    <phoneticPr fontId="15" type="noConversion"/>
  </si>
  <si>
    <t>治疗药水</t>
  </si>
  <si>
    <t>不驱散 x10</t>
    <phoneticPr fontId="15" type="noConversion"/>
  </si>
  <si>
    <t>伤害吸收</t>
    <phoneticPr fontId="15" type="noConversion"/>
  </si>
  <si>
    <t>不打断 x19</t>
    <phoneticPr fontId="15" type="noConversion"/>
  </si>
  <si>
    <t>上个技能</t>
    <phoneticPr fontId="15" type="noConversion"/>
  </si>
  <si>
    <t>SpellStopList x10</t>
    <phoneticPr fontId="15" type="noConversion"/>
  </si>
  <si>
    <t>图标</t>
    <phoneticPr fontId="15" type="noConversion"/>
  </si>
  <si>
    <t>#</t>
    <phoneticPr fontId="15" type="noConversion"/>
  </si>
  <si>
    <t>*</t>
    <phoneticPr fontId="15" type="noConversion"/>
  </si>
  <si>
    <t>O</t>
    <phoneticPr fontId="15" type="noConversion"/>
  </si>
  <si>
    <t>C</t>
    <phoneticPr fontId="15" type="noConversion"/>
  </si>
  <si>
    <t>R</t>
    <phoneticPr fontId="15" type="noConversion"/>
  </si>
  <si>
    <t>读</t>
    <phoneticPr fontId="15" type="noConversion"/>
  </si>
  <si>
    <t>取</t>
    <phoneticPr fontId="15" type="noConversion"/>
  </si>
  <si>
    <t>区</t>
    <phoneticPr fontId="15" type="noConversion"/>
  </si>
  <si>
    <t>死亡骑士</t>
    <phoneticPr fontId="15" type="noConversion"/>
  </si>
  <si>
    <t>符文</t>
    <phoneticPr fontId="15" type="noConversion"/>
  </si>
  <si>
    <t>血DK</t>
    <phoneticPr fontId="15" type="noConversion"/>
  </si>
  <si>
    <t>能量上限</t>
    <phoneticPr fontId="15" type="noConversion"/>
  </si>
  <si>
    <t>打断模式</t>
    <phoneticPr fontId="15" type="noConversion"/>
  </si>
  <si>
    <t>死打生命</t>
    <phoneticPr fontId="15" type="noConversion"/>
  </si>
  <si>
    <t>死打泄能</t>
    <phoneticPr fontId="15" type="noConversion"/>
  </si>
  <si>
    <t>印记血量</t>
    <phoneticPr fontId="15" type="noConversion"/>
  </si>
  <si>
    <t>符文剑</t>
    <phoneticPr fontId="15" type="noConversion"/>
  </si>
  <si>
    <t>德鲁伊</t>
    <phoneticPr fontId="15" type="noConversion"/>
  </si>
  <si>
    <t>连击点</t>
    <phoneticPr fontId="15" type="noConversion"/>
  </si>
  <si>
    <t>熊</t>
    <phoneticPr fontId="15" type="noConversion"/>
  </si>
  <si>
    <t>AOE敌人数量</t>
  </si>
  <si>
    <t>起手时间判定</t>
  </si>
  <si>
    <t>狂暴回复阈值</t>
    <phoneticPr fontId="15" type="noConversion"/>
  </si>
  <si>
    <t>树皮阈值</t>
    <phoneticPr fontId="15" type="noConversion"/>
  </si>
  <si>
    <t>生存本能阈值</t>
    <phoneticPr fontId="15" type="noConversion"/>
  </si>
  <si>
    <t>打断逻辑</t>
    <phoneticPr fontId="15" type="noConversion"/>
  </si>
  <si>
    <t>化身逻辑</t>
    <phoneticPr fontId="15" type="noConversion"/>
  </si>
  <si>
    <t>铁鬃逻辑</t>
    <phoneticPr fontId="15" type="noConversion"/>
  </si>
  <si>
    <t>怒气上限</t>
    <phoneticPr fontId="15" type="noConversion"/>
  </si>
  <si>
    <t>恶魔猎手</t>
    <phoneticPr fontId="15" type="noConversion"/>
  </si>
  <si>
    <t>灵魂碎片</t>
    <phoneticPr fontId="15" type="noConversion"/>
  </si>
  <si>
    <t>奶德</t>
    <phoneticPr fontId="15" type="noConversion"/>
  </si>
  <si>
    <t>铁木树皮血量</t>
    <phoneticPr fontId="15" type="noConversion"/>
  </si>
  <si>
    <t>树皮术血量</t>
    <phoneticPr fontId="15" type="noConversion"/>
  </si>
  <si>
    <t>万灵队伍血量</t>
    <phoneticPr fontId="15" type="noConversion"/>
  </si>
  <si>
    <t>万灵单体血量</t>
    <phoneticPr fontId="15" type="noConversion"/>
  </si>
  <si>
    <t>野性成长血量</t>
    <phoneticPr fontId="15" type="noConversion"/>
  </si>
  <si>
    <t>宁静队血</t>
    <phoneticPr fontId="15" type="noConversion"/>
  </si>
  <si>
    <t>自然迅捷血量</t>
    <phoneticPr fontId="15" type="noConversion"/>
  </si>
  <si>
    <t>迅捷治愈血量</t>
    <phoneticPr fontId="15" type="noConversion"/>
  </si>
  <si>
    <t>迅捷治愈人数</t>
    <phoneticPr fontId="15" type="noConversion"/>
  </si>
  <si>
    <t>愈合血量</t>
    <phoneticPr fontId="15" type="noConversion"/>
  </si>
  <si>
    <t>回春血量</t>
    <phoneticPr fontId="15" type="noConversion"/>
  </si>
  <si>
    <t>丰饶保持</t>
    <phoneticPr fontId="15" type="noConversion"/>
  </si>
  <si>
    <t>坦克缺口忽略</t>
    <phoneticPr fontId="15" type="noConversion"/>
  </si>
  <si>
    <t>hot等效</t>
    <phoneticPr fontId="15" type="noConversion"/>
  </si>
  <si>
    <t>cell</t>
    <phoneticPr fontId="15" type="noConversion"/>
  </si>
  <si>
    <t>BadgeCell</t>
  </si>
  <si>
    <t>CharCell</t>
    <phoneticPr fontId="15" type="noConversion"/>
  </si>
  <si>
    <t>字体</t>
    <phoneticPr fontId="15" type="noConversion"/>
  </si>
  <si>
    <t>有效区域</t>
    <phoneticPr fontId="15" type="noConversion"/>
  </si>
  <si>
    <t>脚标</t>
    <phoneticPr fontId="15" type="noConversion"/>
  </si>
  <si>
    <t>Player Buff 2</t>
    <phoneticPr fontId="1" type="noConversion"/>
  </si>
  <si>
    <t>Player DeBuff 3</t>
  </si>
  <si>
    <t>Player DeBuff 4</t>
  </si>
  <si>
    <t>Player DeBuff 5</t>
  </si>
  <si>
    <t>Target DeBuff 3</t>
  </si>
  <si>
    <t>Target DeBuff 4</t>
  </si>
  <si>
    <t>Target DeBuff 5</t>
  </si>
  <si>
    <t>Target DeBuff 6</t>
  </si>
  <si>
    <t>List 1</t>
    <phoneticPr fontId="15" type="noConversion"/>
  </si>
  <si>
    <t>技能26</t>
  </si>
  <si>
    <t>充能6</t>
  </si>
  <si>
    <t>处于存活状态</t>
    <phoneticPr fontId="1" type="noConversion"/>
  </si>
  <si>
    <t>职业</t>
    <phoneticPr fontId="1" type="noConversion"/>
  </si>
  <si>
    <t>专精</t>
    <phoneticPr fontId="1" type="noConversion"/>
  </si>
  <si>
    <t>职责</t>
    <phoneticPr fontId="1" type="noConversion"/>
  </si>
  <si>
    <t>血量百分比</t>
    <phoneticPr fontId="1" type="noConversion"/>
  </si>
  <si>
    <t xml:space="preserve">主能量百分比 </t>
    <phoneticPr fontId="1" type="noConversion"/>
  </si>
  <si>
    <t>是否处于战斗中</t>
    <phoneticPr fontId="1" type="noConversion"/>
  </si>
  <si>
    <t>是否是自己（玩家）的当前目标</t>
    <phoneticPr fontId="1" type="noConversion"/>
  </si>
  <si>
    <t>是否在移动</t>
    <phoneticPr fontId="1" type="noConversion"/>
  </si>
  <si>
    <t>是否在在骑乘/载具状态</t>
    <phoneticPr fontId="1" type="noConversion"/>
  </si>
  <si>
    <t>近战敌人计数</t>
    <phoneticPr fontId="1" type="noConversion"/>
  </si>
  <si>
    <t>是否正在选择施法目标中</t>
    <phoneticPr fontId="1" type="noConversion"/>
  </si>
  <si>
    <t>是否聊天框正在打开</t>
    <phoneticPr fontId="1" type="noConversion"/>
  </si>
  <si>
    <t>是否处于组队状态</t>
    <phoneticPr fontId="1" type="noConversion"/>
  </si>
  <si>
    <t>饰品1是否冷却好</t>
    <phoneticPr fontId="1" type="noConversion"/>
  </si>
  <si>
    <t>饰品2是否冷却好</t>
    <phoneticPr fontId="1" type="noConversion"/>
  </si>
  <si>
    <t>治疗石是否可用</t>
    <phoneticPr fontId="1" type="noConversion"/>
  </si>
  <si>
    <t>治疗药水是否可用</t>
    <phoneticPr fontId="1" type="noConversion"/>
  </si>
  <si>
    <t>玩家的读条进度/玩家的引导进度</t>
    <phoneticPr fontId="1" type="noConversion"/>
  </si>
  <si>
    <t>玩家的蓄力技能状态</t>
    <phoneticPr fontId="1" type="noConversion"/>
  </si>
  <si>
    <t>玩家的施法目标</t>
    <phoneticPr fontId="1" type="noConversion"/>
  </si>
  <si>
    <t>玩家有大型防御效果</t>
    <phoneticPr fontId="1" type="noConversion"/>
  </si>
  <si>
    <t>玩家有可驱散效果</t>
    <phoneticPr fontId="1" type="noConversion"/>
  </si>
  <si>
    <t>玩家英雄天赋</t>
    <phoneticPr fontId="1" type="noConversion"/>
  </si>
  <si>
    <t>伤害吸收量≤10000时B=0，≥10001时B=1</t>
    <phoneticPr fontId="1" type="noConversion"/>
  </si>
  <si>
    <t>目标的单位存在</t>
    <phoneticPr fontId="1" type="noConversion"/>
  </si>
  <si>
    <t>目标的存活状态</t>
    <phoneticPr fontId="1" type="noConversion"/>
  </si>
  <si>
    <t>目标的生命值百分比</t>
    <phoneticPr fontId="1" type="noConversion"/>
  </si>
  <si>
    <t>目标的是否敌对</t>
    <phoneticPr fontId="1" type="noConversion"/>
  </si>
  <si>
    <t>目标的是否可攻击</t>
    <phoneticPr fontId="1" type="noConversion"/>
  </si>
  <si>
    <t>目标的是否在远程范围内</t>
    <phoneticPr fontId="1" type="noConversion"/>
  </si>
  <si>
    <t>目标的是否在近战范围内</t>
    <phoneticPr fontId="1" type="noConversion"/>
  </si>
  <si>
    <t>目标的战斗中</t>
    <phoneticPr fontId="1" type="noConversion"/>
  </si>
  <si>
    <t>目标的施法进度/目标的通道进度</t>
    <phoneticPr fontId="1" type="noConversion"/>
  </si>
  <si>
    <t>目标的施法是否可中断/目标的通道是否可中断</t>
    <phoneticPr fontId="1" type="noConversion"/>
  </si>
  <si>
    <t xml:space="preserve"> 目标有团队可驱散或偷取的增益效果</t>
    <phoneticPr fontId="1" type="noConversion"/>
  </si>
  <si>
    <t>焦点的单位存在</t>
  </si>
  <si>
    <t>焦点的存活状态</t>
  </si>
  <si>
    <t>焦点的生命值百分比</t>
  </si>
  <si>
    <t>焦点的是否敌对</t>
  </si>
  <si>
    <t>焦点的是否可攻击</t>
  </si>
  <si>
    <t>焦点的是否在远程范围内</t>
  </si>
  <si>
    <t>焦点的是否在近战范围内</t>
  </si>
  <si>
    <t>焦点的战斗中</t>
  </si>
  <si>
    <t>焦点的施法进度/焦点的通道进度</t>
  </si>
  <si>
    <t>焦点的施法是否可中断/焦点的通道是否可中断</t>
  </si>
  <si>
    <t xml:space="preserve"> 焦点有团队可驱散或偷取的增益效果</t>
  </si>
  <si>
    <t>0301_focus_is_exists.lua</t>
  </si>
  <si>
    <t>0302_focus_is_alive.lua</t>
  </si>
  <si>
    <t>0303_focus_health_pct.lua</t>
  </si>
  <si>
    <t>0304_focus_is_enemy.lua</t>
  </si>
  <si>
    <t>0305_focus_can_attack.lua</t>
  </si>
  <si>
    <t>0306_focus_in_ranged.lua</t>
  </si>
  <si>
    <t>0307_focus_in_melee.lua</t>
  </si>
  <si>
    <t>0308_focus_in_combat.lua</t>
  </si>
  <si>
    <t>0309_focus_cast_info.lua</t>
  </si>
  <si>
    <t>0101_player_is_alive.lua</t>
  </si>
  <si>
    <t>0102_player_class.lua</t>
  </si>
  <si>
    <t>0103_player_specialization.lua</t>
  </si>
  <si>
    <t>0104_player_role.lua</t>
  </si>
  <si>
    <t>0105_player_health_pct.lua</t>
  </si>
  <si>
    <t>0106_player_power_pct.lua</t>
  </si>
  <si>
    <t>0107_player_in_combat.lua</t>
  </si>
  <si>
    <t>0108_player_is_player_target.lua</t>
  </si>
  <si>
    <t>0109_player_is_moving.lua</t>
  </si>
  <si>
    <t>0110_player_in_vehicle.lua</t>
  </si>
  <si>
    <t>0111_player_melee_enemies_count.lua</t>
  </si>
  <si>
    <t>0112_player_is_targeting_spell.lua</t>
  </si>
  <si>
    <t>0113_player_is_chatting.lua</t>
  </si>
  <si>
    <t>0114_player_in_group.lua</t>
  </si>
  <si>
    <t>0115_player_trinket_ready.lua</t>
  </si>
  <si>
    <t>0117_player_healthstone_ready.lua</t>
  </si>
  <si>
    <t>0118_player_heal_potion_ready.lua</t>
  </si>
  <si>
    <t>0119_player_cast_info.lua</t>
  </si>
  <si>
    <t>0122_player_has_big_defensive.lua</t>
  </si>
  <si>
    <t>0123_player_has_dispellable_debuff.lua</t>
  </si>
  <si>
    <t>0124_player_hero_talent.lua</t>
  </si>
  <si>
    <t>0125_player_damage_absorb.lua</t>
  </si>
  <si>
    <t>0126_player_heal_absorb.lua</t>
  </si>
  <si>
    <t>0201_target_is_exists.lua</t>
  </si>
  <si>
    <t>0202_target_is_alive.lua</t>
  </si>
  <si>
    <t>0203_target_health_pct.lua</t>
  </si>
  <si>
    <t>0204_target_is_enemy.lua</t>
  </si>
  <si>
    <t>0205_target_can_attack.lua</t>
  </si>
  <si>
    <t>0206_target_in_ranged.lua</t>
  </si>
  <si>
    <t>0207_target_in_melee.lua</t>
  </si>
  <si>
    <t>0208_target_in_combat.lua</t>
  </si>
  <si>
    <t>0209_target_cast_info.lua</t>
  </si>
  <si>
    <t>0121_player_cast_target.lua</t>
    <phoneticPr fontId="1" type="noConversion"/>
  </si>
  <si>
    <t>0209_target_cast_info.lua</t>
    <phoneticPr fontId="1" type="noConversion"/>
  </si>
  <si>
    <t>0211_target_has_dispellable_buff.lua</t>
    <phoneticPr fontId="1" type="noConversion"/>
  </si>
  <si>
    <t>0311_focus_has_dispellable_buff.lua</t>
    <phoneticPr fontId="1" type="noConversion"/>
  </si>
  <si>
    <t xml:space="preserve">治疗吸收量≤10000时B=0，≥10001时B=1 </t>
    <phoneticPr fontId="1" type="noConversion"/>
  </si>
  <si>
    <t>SPEC</t>
    <phoneticPr fontId="1" type="noConversion"/>
  </si>
  <si>
    <t>SETT</t>
    <phoneticPr fontId="1" type="noConversion"/>
  </si>
  <si>
    <t>层数</t>
    <phoneticPr fontId="1" type="noConversion"/>
  </si>
  <si>
    <t>Target DeBuff 2</t>
    <phoneticPr fontId="1" type="noConversion"/>
  </si>
  <si>
    <t>存在</t>
    <phoneticPr fontId="1" type="noConversion"/>
  </si>
  <si>
    <t>当前</t>
    <phoneticPr fontId="1" type="noConversion"/>
  </si>
  <si>
    <t>血量</t>
    <phoneticPr fontId="1" type="noConversion"/>
  </si>
  <si>
    <t>有盾</t>
    <phoneticPr fontId="1" type="noConversion"/>
  </si>
  <si>
    <t>距离内</t>
    <phoneticPr fontId="1" type="noConversion"/>
  </si>
  <si>
    <t>吸奶</t>
    <phoneticPr fontId="1" type="noConversion"/>
  </si>
  <si>
    <t>可驱</t>
    <phoneticPr fontId="1" type="noConversion"/>
  </si>
  <si>
    <t>减伤</t>
    <phoneticPr fontId="1" type="noConversion"/>
  </si>
  <si>
    <t>驱散</t>
    <phoneticPr fontId="1" type="noConversion"/>
  </si>
  <si>
    <t>增益</t>
    <phoneticPr fontId="1" type="noConversion"/>
  </si>
  <si>
    <t>raid11</t>
    <phoneticPr fontId="1" type="noConversion"/>
  </si>
  <si>
    <t>raid16</t>
  </si>
  <si>
    <t>raid21</t>
    <phoneticPr fontId="1" type="noConversion"/>
  </si>
  <si>
    <t>Player Buff 3</t>
    <phoneticPr fontId="1" type="noConversion"/>
  </si>
  <si>
    <t>Player Buff 4</t>
    <phoneticPr fontId="1" type="noConversion"/>
  </si>
  <si>
    <t>Player Buff 5</t>
    <phoneticPr fontId="1" type="noConversion"/>
  </si>
  <si>
    <t>Player Buff 6</t>
    <phoneticPr fontId="1" type="noConversion"/>
  </si>
  <si>
    <t>Player Buff 7</t>
    <phoneticPr fontId="1" type="noConversion"/>
  </si>
  <si>
    <t>Player Buff 8</t>
    <phoneticPr fontId="1" type="noConversion"/>
  </si>
  <si>
    <t>Player Buff 9</t>
    <phoneticPr fontId="1" type="noConversion"/>
  </si>
  <si>
    <t>Player DeBuff 2</t>
    <phoneticPr fontId="1" type="noConversion"/>
  </si>
  <si>
    <t>Hot1</t>
    <phoneticPr fontId="1" type="noConversion"/>
  </si>
  <si>
    <t>Hot2</t>
  </si>
  <si>
    <t>Hot3</t>
  </si>
  <si>
    <t>Hot4</t>
  </si>
  <si>
    <t>Hot5</t>
  </si>
  <si>
    <t>Party3</t>
    <phoneticPr fontId="1" type="noConversion"/>
  </si>
  <si>
    <t>Party4</t>
    <phoneticPr fontId="1" type="noConversion"/>
  </si>
  <si>
    <t>List 2</t>
    <phoneticPr fontId="15" type="noConversion"/>
  </si>
  <si>
    <t>闪烁</t>
  </si>
  <si>
    <t>战斗时间</t>
  </si>
  <si>
    <t>延迟窗口</t>
  </si>
  <si>
    <t>鼠标按下</t>
  </si>
  <si>
    <t>列表x10</t>
    <phoneticPr fontId="1" type="noConversion"/>
  </si>
  <si>
    <t>成员总数</t>
    <phoneticPr fontId="1" type="noConversion"/>
  </si>
  <si>
    <t>队伍类型</t>
    <phoneticPr fontId="1" type="noConversion"/>
  </si>
  <si>
    <t>首领战ID</t>
    <phoneticPr fontId="1" type="noConversion"/>
  </si>
  <si>
    <t>副本原始难度 ID</t>
    <phoneticPr fontId="1" type="noConversion"/>
  </si>
  <si>
    <t>当前战斗时长</t>
    <phoneticPr fontId="1" type="noConversion"/>
  </si>
  <si>
    <t>当前的鼠标按下</t>
    <phoneticPr fontId="1" type="noConversion"/>
  </si>
  <si>
    <t>闪烁，一个闪烁的cell，无内部意义，提高了解码的解析度。</t>
    <phoneticPr fontId="1" type="noConversion"/>
  </si>
  <si>
    <t>延迟窗口</t>
    <phoneticPr fontId="1" type="noConversion"/>
  </si>
  <si>
    <t>爆发</t>
    <phoneticPr fontId="1" type="noConversion"/>
  </si>
  <si>
    <t>启动</t>
    <phoneticPr fontId="1" type="noConversion"/>
  </si>
  <si>
    <t>爆发：当前的爆发状态</t>
    <phoneticPr fontId="1" type="noConversion"/>
  </si>
  <si>
    <t>手动延迟</t>
    <phoneticPr fontId="1" type="noConversion"/>
  </si>
  <si>
    <t>手动延迟：/delay命令触发的延迟</t>
    <phoneticPr fontId="1" type="noConversion"/>
  </si>
  <si>
    <t>Phantom启动，当前的启停状态</t>
    <phoneticPr fontId="1" type="noConversion"/>
  </si>
  <si>
    <t>是当前的目标</t>
    <phoneticPr fontId="1" type="noConversion"/>
  </si>
  <si>
    <t>有增益</t>
    <phoneticPr fontId="1" type="noConversion"/>
  </si>
  <si>
    <t>可驱散</t>
    <phoneticPr fontId="1" type="noConversion"/>
  </si>
  <si>
    <t>有减伤</t>
    <phoneticPr fontId="1" type="noConversion"/>
  </si>
  <si>
    <t>第1个hot的DurationBar</t>
    <phoneticPr fontId="1" type="noConversion"/>
  </si>
  <si>
    <t>第2个hot的DurationBar</t>
    <phoneticPr fontId="1" type="noConversion"/>
  </si>
  <si>
    <t>第3个hot的DurationBar</t>
    <phoneticPr fontId="1" type="noConversion"/>
  </si>
  <si>
    <t>第4个hot的DurationBar</t>
    <phoneticPr fontId="1" type="noConversion"/>
  </si>
  <si>
    <t>第5个hot的DurationBar</t>
    <phoneticPr fontId="1" type="noConversion"/>
  </si>
  <si>
    <t>0127_player_has_buff</t>
    <phoneticPr fontId="1" type="noConversion"/>
  </si>
  <si>
    <t>玩家有addonTable.SPEC.PartyBuff</t>
    <phoneticPr fontId="1" type="noConversion"/>
  </si>
  <si>
    <t>raid1</t>
    <phoneticPr fontId="1" type="noConversion"/>
  </si>
  <si>
    <t>raid2</t>
  </si>
  <si>
    <t>raid11</t>
  </si>
  <si>
    <t>raid21</t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</si>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</sst>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6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24"/>
      <color theme="1"/>
      <name val="微软雅黑"/>
      <family val="2"/>
    </font>
    <font>
      <sz val="36"/>
      <color theme="1"/>
      <name val="微软雅黑"/>
      <family val="2"/>
    </font>
    <font>
      <sz val="48"/>
      <color theme="0"/>
      <name val="微软雅黑"/>
      <family val="2"/>
    </font>
    <font>
      <sz val="48"/>
      <color theme="2"/>
      <name val="微软雅黑"/>
      <family val="2"/>
    </font>
    <font>
      <sz val="48"/>
      <color theme="1"/>
      <name val="微软雅黑"/>
      <family val="2"/>
    </font>
    <font>
      <sz val="72"/>
      <color theme="1"/>
      <name val="微软雅黑"/>
      <family val="2"/>
    </font>
    <font>
      <sz val="36"/>
      <name val="Maple Mono NF CN"/>
      <family val="3"/>
      <charset val="134"/>
    </font>
    <font>
      <sz val="22"/>
      <name val="Maple Mono NF CN"/>
      <family val="3"/>
      <charset val="134"/>
    </font>
    <font>
      <sz val="36"/>
      <color theme="1"/>
      <name val="Maple Mono NF CN"/>
      <family val="3"/>
      <charset val="134"/>
    </font>
    <font>
      <sz val="36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26"/>
      <color theme="1"/>
      <name val="Maple Mono NF CN"/>
      <family val="3"/>
      <charset val="134"/>
    </font>
    <font>
      <sz val="28"/>
      <color theme="1"/>
      <name val="Maple Mono NF CN"/>
      <family val="3"/>
      <charset val="134"/>
    </font>
    <font>
      <sz val="14"/>
      <name val="Maple Mono NF CN"/>
      <family val="3"/>
      <charset val="134"/>
    </font>
    <font>
      <sz val="16"/>
      <color theme="0"/>
      <name val="Maple Mono NF CN"/>
      <family val="3"/>
      <charset val="134"/>
    </font>
    <font>
      <sz val="16"/>
      <name val="Maple Mono NF CN"/>
      <family val="3"/>
      <charset val="134"/>
    </font>
    <font>
      <sz val="18"/>
      <name val="Maple Mono NF CN"/>
      <family val="3"/>
      <charset val="134"/>
    </font>
    <font>
      <sz val="24"/>
      <name val="Maple Mono NF CN"/>
      <family val="3"/>
      <charset val="134"/>
    </font>
    <font>
      <sz val="14"/>
      <color theme="0"/>
      <name val="Maple Mono NF CN"/>
      <family val="3"/>
      <charset val="134"/>
    </font>
    <font>
      <sz val="12"/>
      <color theme="0"/>
      <name val="Maple Mono NF CN"/>
      <family val="3"/>
      <charset val="134"/>
    </font>
    <font>
      <b/>
      <sz val="12"/>
      <color theme="7"/>
      <name val="Maple Mono NF CN"/>
      <family val="3"/>
      <charset val="134"/>
    </font>
    <font>
      <sz val="14"/>
      <color rgb="FFFF0000"/>
      <name val="Maple Mono NF CN"/>
      <family val="3"/>
      <charset val="134"/>
    </font>
    <font>
      <sz val="8"/>
      <name val="Maple Mono NF CN"/>
      <family val="3"/>
      <charset val="134"/>
    </font>
    <font>
      <sz val="14"/>
      <color theme="1"/>
      <name val="Maple Mono NF CN"/>
      <family val="3"/>
      <charset val="134"/>
    </font>
    <font>
      <sz val="24"/>
      <color theme="1"/>
      <name val="Maple Mono NF CN"/>
      <family val="3"/>
      <charset val="134"/>
    </font>
    <font>
      <sz val="11"/>
      <color theme="1"/>
      <name val="Maple Mono NF CN"/>
      <family val="3"/>
      <charset val="134"/>
    </font>
    <font>
      <b/>
      <sz val="14"/>
      <color theme="1"/>
      <name val="Maple Mono NF CN"/>
      <family val="3"/>
      <charset val="134"/>
    </font>
    <font>
      <sz val="10"/>
      <name val="Maple Mono NF CN"/>
      <family val="3"/>
      <charset val="134"/>
    </font>
    <font>
      <sz val="16"/>
      <color theme="1"/>
      <name val="Maple Mono NF CN"/>
      <family val="3"/>
      <charset val="134"/>
    </font>
    <font>
      <sz val="22"/>
      <name val="微软雅黑"/>
      <family val="2"/>
      <charset val="134"/>
    </font>
    <font>
      <sz val="26"/>
      <name val="微软雅黑"/>
      <family val="2"/>
      <charset val="134"/>
    </font>
    <font>
      <sz val="24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36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24"/>
      <color theme="1"/>
      <name val="宋体"/>
      <family val="3"/>
      <charset val="134"/>
      <scheme val="minor"/>
    </font>
    <font>
      <sz val="48"/>
      <name val="Maple Mono NF CN"/>
      <family val="3"/>
      <charset val="134"/>
    </font>
    <font>
      <sz val="48"/>
      <color theme="1"/>
      <name val="Maple Mono NF CN"/>
      <family val="3"/>
      <charset val="134"/>
    </font>
    <font>
      <sz val="48"/>
      <color theme="0"/>
      <name val="Maple Mono NF CN"/>
      <family val="3"/>
      <charset val="134"/>
    </font>
    <font>
      <sz val="11"/>
      <color theme="1"/>
      <name val="宋体"/>
      <family val="3"/>
      <charset val="134"/>
      <scheme val="minor"/>
    </font>
    <font>
      <sz val="26"/>
      <color rgb="FFFF0000"/>
      <name val="微软雅黑"/>
      <family val="2"/>
      <charset val="134"/>
    </font>
  </fonts>
  <fills count="2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3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5" borderId="27" xfId="1" applyFont="1" applyFill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2" fillId="5" borderId="28" xfId="1" applyFont="1" applyFill="1" applyBorder="1" applyAlignment="1">
      <alignment horizontal="center" vertical="center"/>
    </xf>
    <xf numFmtId="0" fontId="11" fillId="6" borderId="0" xfId="1" applyFont="1" applyFill="1" applyAlignment="1">
      <alignment horizontal="center" vertical="center"/>
    </xf>
    <xf numFmtId="0" fontId="11" fillId="7" borderId="0" xfId="1" applyFont="1" applyFill="1" applyAlignment="1">
      <alignment horizontal="center" vertical="center"/>
    </xf>
    <xf numFmtId="0" fontId="16" fillId="0" borderId="2" xfId="1" applyFont="1" applyBorder="1">
      <alignment vertical="center"/>
    </xf>
    <xf numFmtId="0" fontId="16" fillId="0" borderId="4" xfId="1" applyFont="1" applyBorder="1">
      <alignment vertical="center"/>
    </xf>
    <xf numFmtId="0" fontId="12" fillId="5" borderId="29" xfId="1" applyFont="1" applyFill="1" applyBorder="1" applyAlignment="1">
      <alignment horizontal="center" vertical="center"/>
    </xf>
    <xf numFmtId="0" fontId="16" fillId="0" borderId="5" xfId="1" applyFont="1" applyBorder="1">
      <alignment vertical="center"/>
    </xf>
    <xf numFmtId="0" fontId="16" fillId="0" borderId="6" xfId="1" applyFont="1" applyBorder="1">
      <alignment vertical="center"/>
    </xf>
    <xf numFmtId="0" fontId="18" fillId="8" borderId="14" xfId="1" applyFont="1" applyFill="1" applyBorder="1" applyAlignment="1">
      <alignment horizontal="center" vertical="center"/>
    </xf>
    <xf numFmtId="0" fontId="18" fillId="8" borderId="26" xfId="1" applyFont="1" applyFill="1" applyBorder="1" applyAlignment="1">
      <alignment horizontal="center" vertical="center"/>
    </xf>
    <xf numFmtId="0" fontId="18" fillId="8" borderId="10" xfId="1" applyFont="1" applyFill="1" applyBorder="1" applyAlignment="1">
      <alignment horizontal="center" vertical="center"/>
    </xf>
    <xf numFmtId="0" fontId="17" fillId="0" borderId="6" xfId="1" applyFont="1" applyBorder="1">
      <alignment vertical="center"/>
    </xf>
    <xf numFmtId="0" fontId="17" fillId="0" borderId="7" xfId="1" applyFont="1" applyBorder="1">
      <alignment vertical="center"/>
    </xf>
    <xf numFmtId="0" fontId="17" fillId="0" borderId="9" xfId="1" applyFont="1" applyBorder="1">
      <alignment vertical="center"/>
    </xf>
    <xf numFmtId="0" fontId="20" fillId="9" borderId="14" xfId="1" applyFont="1" applyFill="1" applyBorder="1" applyAlignment="1">
      <alignment horizontal="center" vertical="center"/>
    </xf>
    <xf numFmtId="0" fontId="21" fillId="9" borderId="26" xfId="1" applyFont="1" applyFill="1" applyBorder="1" applyAlignment="1">
      <alignment horizontal="center" vertical="center"/>
    </xf>
    <xf numFmtId="0" fontId="18" fillId="10" borderId="14" xfId="1" applyFont="1" applyFill="1" applyBorder="1" applyAlignment="1">
      <alignment horizontal="center" vertical="center"/>
    </xf>
    <xf numFmtId="0" fontId="18" fillId="10" borderId="26" xfId="1" applyFont="1" applyFill="1" applyBorder="1" applyAlignment="1">
      <alignment horizontal="center" vertical="center"/>
    </xf>
    <xf numFmtId="0" fontId="23" fillId="3" borderId="0" xfId="1" applyFont="1" applyFill="1" applyAlignment="1">
      <alignment horizontal="center" vertical="center"/>
    </xf>
    <xf numFmtId="0" fontId="24" fillId="3" borderId="0" xfId="1" applyFont="1" applyFill="1" applyAlignment="1">
      <alignment horizontal="center" vertical="center" wrapText="1"/>
    </xf>
    <xf numFmtId="0" fontId="25" fillId="3" borderId="2" xfId="1" applyFont="1" applyFill="1" applyBorder="1" applyAlignment="1">
      <alignment horizontal="center" vertical="center" wrapText="1"/>
    </xf>
    <xf numFmtId="0" fontId="26" fillId="3" borderId="2" xfId="1" applyFont="1" applyFill="1" applyBorder="1" applyAlignment="1">
      <alignment horizontal="center" vertical="center" wrapText="1"/>
    </xf>
    <xf numFmtId="0" fontId="27" fillId="11" borderId="2" xfId="1" applyFont="1" applyFill="1" applyBorder="1" applyAlignment="1">
      <alignment horizontal="center" vertical="center" wrapText="1"/>
    </xf>
    <xf numFmtId="0" fontId="27" fillId="11" borderId="3" xfId="1" applyFont="1" applyFill="1" applyBorder="1" applyAlignment="1">
      <alignment horizontal="center" vertical="center" wrapText="1"/>
    </xf>
    <xf numFmtId="0" fontId="27" fillId="11" borderId="4" xfId="1" applyFont="1" applyFill="1" applyBorder="1" applyAlignment="1">
      <alignment horizontal="center" vertical="center" wrapText="1"/>
    </xf>
    <xf numFmtId="0" fontId="27" fillId="13" borderId="2" xfId="1" applyFont="1" applyFill="1" applyBorder="1" applyAlignment="1">
      <alignment horizontal="center" vertical="center" wrapText="1"/>
    </xf>
    <xf numFmtId="0" fontId="27" fillId="13" borderId="3" xfId="1" applyFont="1" applyFill="1" applyBorder="1" applyAlignment="1">
      <alignment horizontal="center" vertical="center" wrapText="1"/>
    </xf>
    <xf numFmtId="0" fontId="27" fillId="13" borderId="4" xfId="1" applyFont="1" applyFill="1" applyBorder="1" applyAlignment="1">
      <alignment horizontal="center" vertical="center" wrapText="1"/>
    </xf>
    <xf numFmtId="0" fontId="20" fillId="10" borderId="14" xfId="1" applyFont="1" applyFill="1" applyBorder="1" applyAlignment="1">
      <alignment horizontal="center" vertical="center"/>
    </xf>
    <xf numFmtId="0" fontId="21" fillId="10" borderId="26" xfId="1" applyFont="1" applyFill="1" applyBorder="1" applyAlignment="1">
      <alignment horizontal="center" vertical="center"/>
    </xf>
    <xf numFmtId="0" fontId="21" fillId="10" borderId="23" xfId="1" applyFont="1" applyFill="1" applyBorder="1" applyAlignment="1">
      <alignment horizontal="center" vertical="center"/>
    </xf>
    <xf numFmtId="0" fontId="21" fillId="10" borderId="14" xfId="1" applyFont="1" applyFill="1" applyBorder="1" applyAlignment="1">
      <alignment horizontal="center" vertical="center"/>
    </xf>
    <xf numFmtId="0" fontId="20" fillId="11" borderId="10" xfId="1" applyFont="1" applyFill="1" applyBorder="1" applyAlignment="1">
      <alignment horizontal="center" vertical="center"/>
    </xf>
    <xf numFmtId="0" fontId="21" fillId="11" borderId="26" xfId="1" applyFont="1" applyFill="1" applyBorder="1" applyAlignment="1">
      <alignment horizontal="center" vertical="center"/>
    </xf>
    <xf numFmtId="0" fontId="27" fillId="11" borderId="7" xfId="1" applyFont="1" applyFill="1" applyBorder="1" applyAlignment="1">
      <alignment horizontal="center" vertical="center" wrapText="1"/>
    </xf>
    <xf numFmtId="0" fontId="27" fillId="11" borderId="8" xfId="1" applyFont="1" applyFill="1" applyBorder="1" applyAlignment="1">
      <alignment horizontal="center" vertical="center" wrapText="1"/>
    </xf>
    <xf numFmtId="0" fontId="27" fillId="11" borderId="9" xfId="1" applyFont="1" applyFill="1" applyBorder="1" applyAlignment="1">
      <alignment horizontal="center" vertical="center" wrapText="1"/>
    </xf>
    <xf numFmtId="0" fontId="27" fillId="13" borderId="7" xfId="1" applyFont="1" applyFill="1" applyBorder="1" applyAlignment="1">
      <alignment horizontal="center" vertical="center" wrapText="1"/>
    </xf>
    <xf numFmtId="0" fontId="27" fillId="13" borderId="8" xfId="1" applyFont="1" applyFill="1" applyBorder="1" applyAlignment="1">
      <alignment horizontal="center" vertical="center" wrapText="1"/>
    </xf>
    <xf numFmtId="0" fontId="27" fillId="13" borderId="27" xfId="1" applyFont="1" applyFill="1" applyBorder="1" applyAlignment="1">
      <alignment horizontal="center" vertical="center" wrapText="1"/>
    </xf>
    <xf numFmtId="0" fontId="27" fillId="13" borderId="30" xfId="1" applyFont="1" applyFill="1" applyBorder="1" applyAlignment="1">
      <alignment horizontal="center" vertical="center" wrapText="1"/>
    </xf>
    <xf numFmtId="0" fontId="18" fillId="14" borderId="25" xfId="1" applyFont="1" applyFill="1" applyBorder="1" applyAlignment="1">
      <alignment vertical="center" wrapText="1"/>
    </xf>
    <xf numFmtId="0" fontId="23" fillId="3" borderId="31" xfId="1" applyFont="1" applyFill="1" applyBorder="1" applyAlignment="1">
      <alignment horizontal="center" vertical="center" wrapText="1"/>
    </xf>
    <xf numFmtId="0" fontId="26" fillId="3" borderId="19" xfId="1" applyFont="1" applyFill="1" applyBorder="1" applyAlignment="1">
      <alignment horizontal="center" vertical="center" wrapText="1"/>
    </xf>
    <xf numFmtId="0" fontId="26" fillId="3" borderId="13" xfId="1" applyFont="1" applyFill="1" applyBorder="1" applyAlignment="1">
      <alignment horizontal="center" vertical="center" wrapText="1"/>
    </xf>
    <xf numFmtId="0" fontId="27" fillId="6" borderId="2" xfId="1" applyFont="1" applyFill="1" applyBorder="1" applyAlignment="1">
      <alignment horizontal="center" vertical="center" wrapText="1"/>
    </xf>
    <xf numFmtId="0" fontId="27" fillId="6" borderId="3" xfId="1" applyFont="1" applyFill="1" applyBorder="1" applyAlignment="1">
      <alignment horizontal="center" vertical="center" wrapText="1"/>
    </xf>
    <xf numFmtId="0" fontId="27" fillId="6" borderId="4" xfId="1" applyFont="1" applyFill="1" applyBorder="1" applyAlignment="1">
      <alignment horizontal="center" vertical="center" wrapText="1"/>
    </xf>
    <xf numFmtId="0" fontId="18" fillId="15" borderId="25" xfId="1" applyFont="1" applyFill="1" applyBorder="1" applyAlignment="1">
      <alignment vertical="center" wrapText="1"/>
    </xf>
    <xf numFmtId="0" fontId="27" fillId="6" borderId="32" xfId="1" applyFont="1" applyFill="1" applyBorder="1" applyAlignment="1">
      <alignment horizontal="center" vertical="center" wrapText="1"/>
    </xf>
    <xf numFmtId="0" fontId="27" fillId="6" borderId="27" xfId="1" applyFont="1" applyFill="1" applyBorder="1" applyAlignment="1">
      <alignment horizontal="center" vertical="center" wrapText="1"/>
    </xf>
    <xf numFmtId="0" fontId="27" fillId="6" borderId="30" xfId="1" applyFont="1" applyFill="1" applyBorder="1" applyAlignment="1">
      <alignment horizontal="center" vertical="center" wrapText="1"/>
    </xf>
    <xf numFmtId="0" fontId="26" fillId="3" borderId="31" xfId="1" applyFont="1" applyFill="1" applyBorder="1" applyAlignment="1">
      <alignment horizontal="center" vertical="center" wrapText="1"/>
    </xf>
    <xf numFmtId="0" fontId="26" fillId="16" borderId="33" xfId="1" applyFont="1" applyFill="1" applyBorder="1" applyAlignment="1">
      <alignment horizontal="center" vertical="center" wrapText="1"/>
    </xf>
    <xf numFmtId="0" fontId="28" fillId="16" borderId="3" xfId="1" applyFont="1" applyFill="1" applyBorder="1" applyAlignment="1">
      <alignment horizontal="center" vertical="center" wrapText="1"/>
    </xf>
    <xf numFmtId="0" fontId="18" fillId="16" borderId="1" xfId="1" applyFont="1" applyFill="1" applyBorder="1" applyAlignment="1">
      <alignment horizontal="center" vertical="center" wrapText="1"/>
    </xf>
    <xf numFmtId="0" fontId="30" fillId="16" borderId="3" xfId="1" applyFont="1" applyFill="1" applyBorder="1" applyAlignment="1">
      <alignment horizontal="center" vertical="center" wrapText="1"/>
    </xf>
    <xf numFmtId="0" fontId="28" fillId="16" borderId="8" xfId="1" applyFont="1" applyFill="1" applyBorder="1" applyAlignment="1">
      <alignment horizontal="center" vertical="center" wrapText="1"/>
    </xf>
    <xf numFmtId="0" fontId="31" fillId="17" borderId="33" xfId="1" applyFont="1" applyFill="1" applyBorder="1" applyAlignment="1">
      <alignment horizontal="center" vertical="center" wrapText="1"/>
    </xf>
    <xf numFmtId="0" fontId="19" fillId="3" borderId="20" xfId="1" applyFont="1" applyFill="1" applyBorder="1">
      <alignment vertical="center"/>
    </xf>
    <xf numFmtId="0" fontId="30" fillId="16" borderId="8" xfId="1" applyFont="1" applyFill="1" applyBorder="1" applyAlignment="1">
      <alignment horizontal="center" vertical="center" wrapText="1"/>
    </xf>
    <xf numFmtId="0" fontId="26" fillId="16" borderId="34" xfId="1" applyFont="1" applyFill="1" applyBorder="1" applyAlignment="1">
      <alignment horizontal="center" vertical="center" wrapText="1"/>
    </xf>
    <xf numFmtId="0" fontId="20" fillId="13" borderId="14" xfId="1" applyFont="1" applyFill="1" applyBorder="1" applyAlignment="1">
      <alignment horizontal="center" vertical="center"/>
    </xf>
    <xf numFmtId="0" fontId="20" fillId="13" borderId="26" xfId="1" applyFont="1" applyFill="1" applyBorder="1" applyAlignment="1">
      <alignment horizontal="center" vertical="center"/>
    </xf>
    <xf numFmtId="0" fontId="20" fillId="13" borderId="23" xfId="1" applyFont="1" applyFill="1" applyBorder="1" applyAlignment="1">
      <alignment horizontal="center" vertical="center"/>
    </xf>
    <xf numFmtId="0" fontId="20" fillId="6" borderId="14" xfId="1" applyFont="1" applyFill="1" applyBorder="1" applyAlignment="1">
      <alignment horizontal="center" vertical="center"/>
    </xf>
    <xf numFmtId="0" fontId="20" fillId="6" borderId="26" xfId="1" applyFont="1" applyFill="1" applyBorder="1" applyAlignment="1">
      <alignment horizontal="center" vertical="center"/>
    </xf>
    <xf numFmtId="0" fontId="20" fillId="6" borderId="23" xfId="1" applyFont="1" applyFill="1" applyBorder="1" applyAlignment="1">
      <alignment horizontal="center" vertical="center"/>
    </xf>
    <xf numFmtId="0" fontId="20" fillId="19" borderId="14" xfId="1" applyFont="1" applyFill="1" applyBorder="1" applyAlignment="1">
      <alignment horizontal="center" vertical="center"/>
    </xf>
    <xf numFmtId="0" fontId="20" fillId="19" borderId="26" xfId="1" applyFont="1" applyFill="1" applyBorder="1" applyAlignment="1">
      <alignment horizontal="center" vertical="center"/>
    </xf>
    <xf numFmtId="0" fontId="32" fillId="19" borderId="1" xfId="1" applyFont="1" applyFill="1" applyBorder="1" applyAlignment="1">
      <alignment horizontal="center" vertical="center" wrapText="1"/>
    </xf>
    <xf numFmtId="0" fontId="13" fillId="9" borderId="0" xfId="1" applyFont="1" applyFill="1" applyAlignment="1">
      <alignment horizontal="center" vertical="center"/>
    </xf>
    <xf numFmtId="0" fontId="29" fillId="9" borderId="0" xfId="1" applyFont="1" applyFill="1" applyAlignment="1">
      <alignment horizontal="center" vertical="center"/>
    </xf>
    <xf numFmtId="0" fontId="13" fillId="5" borderId="0" xfId="1" applyFont="1" applyFill="1">
      <alignment vertical="center"/>
    </xf>
    <xf numFmtId="0" fontId="33" fillId="5" borderId="0" xfId="1" applyFont="1" applyFill="1" applyAlignment="1">
      <alignment horizontal="center" vertical="center"/>
    </xf>
    <xf numFmtId="0" fontId="34" fillId="5" borderId="1" xfId="1" applyFont="1" applyFill="1" applyBorder="1" applyAlignment="1">
      <alignment horizontal="center" vertical="center"/>
    </xf>
    <xf numFmtId="0" fontId="3" fillId="3" borderId="31" xfId="1" applyFont="1" applyFill="1" applyBorder="1" applyAlignment="1">
      <alignment horizontal="center" vertical="center" wrapText="1"/>
    </xf>
    <xf numFmtId="0" fontId="38" fillId="3" borderId="19" xfId="1" applyFont="1" applyFill="1" applyBorder="1" applyAlignment="1">
      <alignment horizontal="center" vertical="center" wrapText="1"/>
    </xf>
    <xf numFmtId="0" fontId="38" fillId="3" borderId="13" xfId="1" applyFont="1" applyFill="1" applyBorder="1" applyAlignment="1">
      <alignment horizontal="center" vertical="center" wrapText="1"/>
    </xf>
    <xf numFmtId="0" fontId="40" fillId="3" borderId="31" xfId="1" applyFont="1" applyFill="1" applyBorder="1" applyAlignment="1">
      <alignment horizontal="center" vertical="center" wrapText="1"/>
    </xf>
    <xf numFmtId="0" fontId="41" fillId="3" borderId="19" xfId="1" applyFont="1" applyFill="1" applyBorder="1" applyAlignment="1">
      <alignment horizontal="center" vertical="center" wrapText="1"/>
    </xf>
    <xf numFmtId="0" fontId="42" fillId="3" borderId="19" xfId="1" applyFont="1" applyFill="1" applyBorder="1" applyAlignment="1">
      <alignment horizontal="center" vertical="center" wrapText="1"/>
    </xf>
    <xf numFmtId="0" fontId="14" fillId="0" borderId="20" xfId="1" applyFont="1" applyBorder="1">
      <alignment vertical="center"/>
    </xf>
    <xf numFmtId="0" fontId="14" fillId="19" borderId="16" xfId="1" applyFont="1" applyFill="1" applyBorder="1">
      <alignment vertical="center"/>
    </xf>
    <xf numFmtId="0" fontId="14" fillId="19" borderId="22" xfId="1" applyFont="1" applyFill="1" applyBorder="1">
      <alignment vertical="center"/>
    </xf>
    <xf numFmtId="0" fontId="14" fillId="4" borderId="21" xfId="1" applyFont="1" applyFill="1" applyBorder="1">
      <alignment vertical="center"/>
    </xf>
    <xf numFmtId="0" fontId="14" fillId="4" borderId="20" xfId="1" applyFont="1" applyFill="1" applyBorder="1">
      <alignment vertical="center"/>
    </xf>
    <xf numFmtId="0" fontId="14" fillId="19" borderId="21" xfId="1" applyFont="1" applyFill="1" applyBorder="1">
      <alignment vertical="center"/>
    </xf>
    <xf numFmtId="0" fontId="14" fillId="19" borderId="20" xfId="1" applyFont="1" applyFill="1" applyBorder="1">
      <alignment vertical="center"/>
    </xf>
    <xf numFmtId="0" fontId="14" fillId="4" borderId="14" xfId="1" applyFont="1" applyFill="1" applyBorder="1">
      <alignment vertical="center"/>
    </xf>
    <xf numFmtId="0" fontId="14" fillId="4" borderId="13" xfId="1" applyFont="1" applyFill="1" applyBorder="1">
      <alignment vertical="center"/>
    </xf>
    <xf numFmtId="0" fontId="14" fillId="4" borderId="15" xfId="1" applyFont="1" applyFill="1" applyBorder="1">
      <alignment vertical="center"/>
    </xf>
    <xf numFmtId="0" fontId="14" fillId="13" borderId="21" xfId="1" applyFont="1" applyFill="1" applyBorder="1">
      <alignment vertical="center"/>
    </xf>
    <xf numFmtId="0" fontId="14" fillId="13" borderId="0" xfId="1" applyFont="1" applyFill="1">
      <alignment vertical="center"/>
    </xf>
    <xf numFmtId="0" fontId="14" fillId="13" borderId="14" xfId="1" applyFont="1" applyFill="1" applyBorder="1">
      <alignment vertical="center"/>
    </xf>
    <xf numFmtId="0" fontId="14" fillId="13" borderId="13" xfId="1" applyFont="1" applyFill="1" applyBorder="1">
      <alignment vertical="center"/>
    </xf>
    <xf numFmtId="0" fontId="14" fillId="19" borderId="14" xfId="1" applyFont="1" applyFill="1" applyBorder="1">
      <alignment vertical="center"/>
    </xf>
    <xf numFmtId="0" fontId="14" fillId="19" borderId="15" xfId="1" applyFont="1" applyFill="1" applyBorder="1">
      <alignment vertical="center"/>
    </xf>
    <xf numFmtId="0" fontId="9" fillId="0" borderId="26" xfId="0" applyFont="1" applyBorder="1" applyAlignment="1">
      <alignment horizontal="center" vertical="center" wrapText="1"/>
    </xf>
    <xf numFmtId="0" fontId="45" fillId="9" borderId="0" xfId="1" applyFont="1" applyFill="1" applyAlignment="1">
      <alignment horizontal="center" vertical="center"/>
    </xf>
    <xf numFmtId="0" fontId="45" fillId="5" borderId="0" xfId="1" applyFont="1" applyFill="1">
      <alignment vertical="center"/>
    </xf>
    <xf numFmtId="0" fontId="46" fillId="3" borderId="20" xfId="1" applyFont="1" applyFill="1" applyBorder="1">
      <alignment vertical="center"/>
    </xf>
    <xf numFmtId="0" fontId="45" fillId="5" borderId="0" xfId="1" applyFont="1" applyFill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47" fillId="0" borderId="0" xfId="0" applyFont="1">
      <alignment vertical="center"/>
    </xf>
    <xf numFmtId="0" fontId="48" fillId="3" borderId="31" xfId="1" applyFont="1" applyFill="1" applyBorder="1" applyAlignment="1">
      <alignment horizontal="center" vertical="center" wrapText="1"/>
    </xf>
    <xf numFmtId="0" fontId="6" fillId="10" borderId="2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58" fontId="47" fillId="0" borderId="0" xfId="0" applyNumberFormat="1" applyFont="1">
      <alignment vertical="center"/>
    </xf>
    <xf numFmtId="0" fontId="6" fillId="0" borderId="25" xfId="0" applyFont="1" applyBorder="1" applyAlignment="1">
      <alignment horizontal="center" vertical="center" textRotation="255" wrapText="1"/>
    </xf>
    <xf numFmtId="0" fontId="6" fillId="0" borderId="23" xfId="0" applyFont="1" applyBorder="1" applyAlignment="1">
      <alignment horizontal="center" vertical="center" textRotation="255" wrapText="1"/>
    </xf>
    <xf numFmtId="0" fontId="10" fillId="0" borderId="1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44" fillId="18" borderId="16" xfId="1" applyFont="1" applyFill="1" applyBorder="1" applyAlignment="1">
      <alignment horizontal="center" vertical="center"/>
    </xf>
    <xf numFmtId="0" fontId="44" fillId="18" borderId="19" xfId="1" applyFont="1" applyFill="1" applyBorder="1" applyAlignment="1">
      <alignment horizontal="center" vertical="center"/>
    </xf>
    <xf numFmtId="0" fontId="44" fillId="18" borderId="14" xfId="1" applyFont="1" applyFill="1" applyBorder="1" applyAlignment="1">
      <alignment horizontal="center" vertical="center"/>
    </xf>
    <xf numFmtId="0" fontId="44" fillId="18" borderId="13" xfId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44" fillId="9" borderId="19" xfId="1" applyFont="1" applyFill="1" applyBorder="1" applyAlignment="1">
      <alignment horizontal="center" vertical="center"/>
    </xf>
    <xf numFmtId="0" fontId="44" fillId="9" borderId="0" xfId="1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11" fillId="8" borderId="16" xfId="1" applyFont="1" applyFill="1" applyBorder="1" applyAlignment="1">
      <alignment horizontal="center" vertical="center"/>
    </xf>
    <xf numFmtId="0" fontId="11" fillId="8" borderId="22" xfId="1" applyFont="1" applyFill="1" applyBorder="1" applyAlignment="1">
      <alignment horizontal="center" vertical="center"/>
    </xf>
    <xf numFmtId="0" fontId="11" fillId="8" borderId="14" xfId="1" applyFont="1" applyFill="1" applyBorder="1" applyAlignment="1">
      <alignment horizontal="center" vertical="center"/>
    </xf>
    <xf numFmtId="0" fontId="11" fillId="8" borderId="15" xfId="1" applyFont="1" applyFill="1" applyBorder="1" applyAlignment="1">
      <alignment horizontal="center" vertical="center"/>
    </xf>
    <xf numFmtId="0" fontId="11" fillId="8" borderId="19" xfId="1" applyFont="1" applyFill="1" applyBorder="1" applyAlignment="1">
      <alignment horizontal="center" vertical="center"/>
    </xf>
    <xf numFmtId="0" fontId="11" fillId="8" borderId="13" xfId="1" applyFont="1" applyFill="1" applyBorder="1" applyAlignment="1">
      <alignment horizontal="center" vertical="center"/>
    </xf>
    <xf numFmtId="0" fontId="17" fillId="0" borderId="21" xfId="1" applyFont="1" applyBorder="1" applyAlignment="1">
      <alignment horizontal="center" vertical="center" wrapText="1"/>
    </xf>
    <xf numFmtId="0" fontId="17" fillId="0" borderId="20" xfId="1" applyFont="1" applyBorder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wrapText="1"/>
    </xf>
    <xf numFmtId="0" fontId="19" fillId="3" borderId="20" xfId="1" applyFont="1" applyFill="1" applyBorder="1" applyAlignment="1">
      <alignment horizontal="center" vertical="center"/>
    </xf>
    <xf numFmtId="0" fontId="11" fillId="9" borderId="16" xfId="1" applyFont="1" applyFill="1" applyBorder="1" applyAlignment="1">
      <alignment horizontal="center" vertical="center"/>
    </xf>
    <xf numFmtId="0" fontId="11" fillId="9" borderId="22" xfId="1" applyFont="1" applyFill="1" applyBorder="1" applyAlignment="1">
      <alignment horizontal="center" vertical="center"/>
    </xf>
    <xf numFmtId="0" fontId="11" fillId="9" borderId="14" xfId="1" applyFont="1" applyFill="1" applyBorder="1" applyAlignment="1">
      <alignment horizontal="center" vertical="center"/>
    </xf>
    <xf numFmtId="0" fontId="11" fillId="9" borderId="15" xfId="1" applyFont="1" applyFill="1" applyBorder="1" applyAlignment="1">
      <alignment horizontal="center" vertical="center"/>
    </xf>
    <xf numFmtId="0" fontId="11" fillId="9" borderId="19" xfId="1" applyFont="1" applyFill="1" applyBorder="1" applyAlignment="1">
      <alignment horizontal="center" vertical="center"/>
    </xf>
    <xf numFmtId="0" fontId="11" fillId="9" borderId="13" xfId="1" applyFont="1" applyFill="1" applyBorder="1" applyAlignment="1">
      <alignment horizontal="center" vertical="center"/>
    </xf>
    <xf numFmtId="0" fontId="11" fillId="10" borderId="16" xfId="1" applyFont="1" applyFill="1" applyBorder="1" applyAlignment="1">
      <alignment horizontal="center" vertical="center"/>
    </xf>
    <xf numFmtId="0" fontId="11" fillId="10" borderId="22" xfId="1" applyFont="1" applyFill="1" applyBorder="1" applyAlignment="1">
      <alignment horizontal="center" vertical="center"/>
    </xf>
    <xf numFmtId="0" fontId="11" fillId="10" borderId="14" xfId="1" applyFont="1" applyFill="1" applyBorder="1" applyAlignment="1">
      <alignment horizontal="center" vertical="center"/>
    </xf>
    <xf numFmtId="0" fontId="11" fillId="10" borderId="15" xfId="1" applyFont="1" applyFill="1" applyBorder="1" applyAlignment="1">
      <alignment horizontal="center" vertical="center"/>
    </xf>
    <xf numFmtId="0" fontId="22" fillId="9" borderId="21" xfId="1" applyFont="1" applyFill="1" applyBorder="1" applyAlignment="1">
      <alignment horizontal="center" vertical="center"/>
    </xf>
    <xf numFmtId="0" fontId="22" fillId="9" borderId="20" xfId="1" applyFont="1" applyFill="1" applyBorder="1" applyAlignment="1">
      <alignment horizontal="center" vertical="center"/>
    </xf>
    <xf numFmtId="0" fontId="22" fillId="9" borderId="14" xfId="1" applyFont="1" applyFill="1" applyBorder="1" applyAlignment="1">
      <alignment horizontal="center" vertical="center"/>
    </xf>
    <xf numFmtId="0" fontId="22" fillId="9" borderId="15" xfId="1" applyFont="1" applyFill="1" applyBorder="1" applyAlignment="1">
      <alignment horizontal="center" vertical="center"/>
    </xf>
    <xf numFmtId="0" fontId="11" fillId="10" borderId="19" xfId="1" applyFont="1" applyFill="1" applyBorder="1" applyAlignment="1">
      <alignment horizontal="center" vertical="center"/>
    </xf>
    <xf numFmtId="0" fontId="11" fillId="10" borderId="13" xfId="1" applyFont="1" applyFill="1" applyBorder="1" applyAlignment="1">
      <alignment horizontal="center" vertical="center"/>
    </xf>
    <xf numFmtId="0" fontId="11" fillId="10" borderId="21" xfId="1" applyFont="1" applyFill="1" applyBorder="1" applyAlignment="1">
      <alignment horizontal="center" vertical="center"/>
    </xf>
    <xf numFmtId="0" fontId="11" fillId="10" borderId="20" xfId="1" applyFont="1" applyFill="1" applyBorder="1" applyAlignment="1">
      <alignment horizontal="center" vertical="center"/>
    </xf>
    <xf numFmtId="0" fontId="22" fillId="10" borderId="21" xfId="1" applyFont="1" applyFill="1" applyBorder="1" applyAlignment="1">
      <alignment horizontal="center" vertical="center"/>
    </xf>
    <xf numFmtId="0" fontId="22" fillId="10" borderId="20" xfId="1" applyFont="1" applyFill="1" applyBorder="1" applyAlignment="1">
      <alignment horizontal="center" vertical="center"/>
    </xf>
    <xf numFmtId="0" fontId="22" fillId="10" borderId="14" xfId="1" applyFont="1" applyFill="1" applyBorder="1" applyAlignment="1">
      <alignment horizontal="center" vertical="center"/>
    </xf>
    <xf numFmtId="0" fontId="22" fillId="10" borderId="15" xfId="1" applyFont="1" applyFill="1" applyBorder="1" applyAlignment="1">
      <alignment horizontal="center" vertical="center"/>
    </xf>
    <xf numFmtId="0" fontId="11" fillId="11" borderId="16" xfId="1" applyFont="1" applyFill="1" applyBorder="1" applyAlignment="1">
      <alignment horizontal="center" vertical="center"/>
    </xf>
    <xf numFmtId="0" fontId="11" fillId="11" borderId="22" xfId="1" applyFont="1" applyFill="1" applyBorder="1" applyAlignment="1">
      <alignment horizontal="center" vertical="center"/>
    </xf>
    <xf numFmtId="0" fontId="11" fillId="11" borderId="21" xfId="1" applyFont="1" applyFill="1" applyBorder="1" applyAlignment="1">
      <alignment horizontal="center" vertical="center"/>
    </xf>
    <xf numFmtId="0" fontId="11" fillId="11" borderId="20" xfId="1" applyFont="1" applyFill="1" applyBorder="1" applyAlignment="1">
      <alignment horizontal="center" vertical="center"/>
    </xf>
    <xf numFmtId="0" fontId="11" fillId="11" borderId="19" xfId="1" applyFont="1" applyFill="1" applyBorder="1" applyAlignment="1">
      <alignment horizontal="center" vertical="center"/>
    </xf>
    <xf numFmtId="0" fontId="11" fillId="11" borderId="0" xfId="1" applyFont="1" applyFill="1" applyAlignment="1">
      <alignment horizontal="center" vertical="center"/>
    </xf>
    <xf numFmtId="0" fontId="18" fillId="12" borderId="25" xfId="1" applyFont="1" applyFill="1" applyBorder="1" applyAlignment="1">
      <alignment horizontal="center" vertical="center" wrapText="1"/>
    </xf>
    <xf numFmtId="0" fontId="18" fillId="12" borderId="23" xfId="1" applyFont="1" applyFill="1" applyBorder="1" applyAlignment="1">
      <alignment horizontal="center" vertical="center" wrapText="1"/>
    </xf>
    <xf numFmtId="0" fontId="22" fillId="11" borderId="3" xfId="1" applyFont="1" applyFill="1" applyBorder="1" applyAlignment="1">
      <alignment horizontal="center" vertical="center" wrapText="1"/>
    </xf>
    <xf numFmtId="0" fontId="22" fillId="11" borderId="8" xfId="1" applyFont="1" applyFill="1" applyBorder="1" applyAlignment="1">
      <alignment horizontal="center" vertical="center" wrapText="1"/>
    </xf>
    <xf numFmtId="0" fontId="22" fillId="11" borderId="21" xfId="1" applyFont="1" applyFill="1" applyBorder="1" applyAlignment="1">
      <alignment horizontal="center" vertical="center"/>
    </xf>
    <xf numFmtId="0" fontId="22" fillId="11" borderId="20" xfId="1" applyFont="1" applyFill="1" applyBorder="1" applyAlignment="1">
      <alignment horizontal="center" vertical="center"/>
    </xf>
    <xf numFmtId="0" fontId="22" fillId="11" borderId="14" xfId="1" applyFont="1" applyFill="1" applyBorder="1" applyAlignment="1">
      <alignment horizontal="center" vertical="center"/>
    </xf>
    <xf numFmtId="0" fontId="22" fillId="11" borderId="15" xfId="1" applyFont="1" applyFill="1" applyBorder="1" applyAlignment="1">
      <alignment horizontal="center" vertical="center"/>
    </xf>
    <xf numFmtId="0" fontId="28" fillId="11" borderId="25" xfId="1" applyFont="1" applyFill="1" applyBorder="1" applyAlignment="1">
      <alignment horizontal="center" vertical="center" wrapText="1"/>
    </xf>
    <xf numFmtId="0" fontId="28" fillId="11" borderId="23" xfId="1" applyFont="1" applyFill="1" applyBorder="1" applyAlignment="1">
      <alignment horizontal="center" vertical="center" wrapText="1"/>
    </xf>
    <xf numFmtId="0" fontId="22" fillId="13" borderId="3" xfId="1" applyFont="1" applyFill="1" applyBorder="1" applyAlignment="1">
      <alignment horizontal="center" vertical="center" wrapText="1"/>
    </xf>
    <xf numFmtId="0" fontId="22" fillId="13" borderId="27" xfId="1" applyFont="1" applyFill="1" applyBorder="1" applyAlignment="1">
      <alignment horizontal="center" vertical="center" wrapText="1"/>
    </xf>
    <xf numFmtId="0" fontId="11" fillId="6" borderId="16" xfId="1" applyFont="1" applyFill="1" applyBorder="1" applyAlignment="1">
      <alignment horizontal="center" vertical="center"/>
    </xf>
    <xf numFmtId="0" fontId="11" fillId="6" borderId="22" xfId="1" applyFont="1" applyFill="1" applyBorder="1" applyAlignment="1">
      <alignment horizontal="center" vertical="center"/>
    </xf>
    <xf numFmtId="0" fontId="11" fillId="6" borderId="14" xfId="1" applyFont="1" applyFill="1" applyBorder="1" applyAlignment="1">
      <alignment horizontal="center" vertical="center"/>
    </xf>
    <xf numFmtId="0" fontId="11" fillId="6" borderId="15" xfId="1" applyFont="1" applyFill="1" applyBorder="1" applyAlignment="1">
      <alignment horizontal="center" vertical="center"/>
    </xf>
    <xf numFmtId="0" fontId="11" fillId="6" borderId="19" xfId="1" applyFont="1" applyFill="1" applyBorder="1" applyAlignment="1">
      <alignment horizontal="center" vertical="center"/>
    </xf>
    <xf numFmtId="0" fontId="11" fillId="6" borderId="13" xfId="1" applyFont="1" applyFill="1" applyBorder="1" applyAlignment="1">
      <alignment horizontal="center" vertical="center"/>
    </xf>
    <xf numFmtId="0" fontId="19" fillId="3" borderId="22" xfId="1" applyFont="1" applyFill="1" applyBorder="1" applyAlignment="1">
      <alignment horizontal="center" vertical="center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1" fillId="0" borderId="10" xfId="1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11" fillId="18" borderId="16" xfId="1" applyFont="1" applyFill="1" applyBorder="1" applyAlignment="1">
      <alignment horizontal="center" vertical="center"/>
    </xf>
    <xf numFmtId="0" fontId="11" fillId="18" borderId="19" xfId="1" applyFont="1" applyFill="1" applyBorder="1" applyAlignment="1">
      <alignment horizontal="center" vertical="center"/>
    </xf>
    <xf numFmtId="0" fontId="11" fillId="18" borderId="22" xfId="1" applyFont="1" applyFill="1" applyBorder="1" applyAlignment="1">
      <alignment horizontal="center" vertical="center"/>
    </xf>
    <xf numFmtId="0" fontId="11" fillId="18" borderId="14" xfId="1" applyFont="1" applyFill="1" applyBorder="1" applyAlignment="1">
      <alignment horizontal="center" vertical="center"/>
    </xf>
    <xf numFmtId="0" fontId="11" fillId="18" borderId="13" xfId="1" applyFont="1" applyFill="1" applyBorder="1" applyAlignment="1">
      <alignment horizontal="center" vertical="center"/>
    </xf>
    <xf numFmtId="0" fontId="11" fillId="18" borderId="15" xfId="1" applyFont="1" applyFill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2" fillId="0" borderId="12" xfId="1" applyFont="1" applyBorder="1" applyAlignment="1">
      <alignment horizontal="center" vertical="center"/>
    </xf>
    <xf numFmtId="0" fontId="28" fillId="6" borderId="25" xfId="1" applyFont="1" applyFill="1" applyBorder="1" applyAlignment="1">
      <alignment horizontal="center" vertical="center" wrapText="1"/>
    </xf>
    <xf numFmtId="0" fontId="28" fillId="6" borderId="23" xfId="1" applyFont="1" applyFill="1" applyBorder="1" applyAlignment="1">
      <alignment horizontal="center" vertical="center" wrapText="1"/>
    </xf>
    <xf numFmtId="0" fontId="22" fillId="6" borderId="3" xfId="1" applyFont="1" applyFill="1" applyBorder="1" applyAlignment="1">
      <alignment horizontal="center" vertical="center" wrapText="1"/>
    </xf>
    <xf numFmtId="0" fontId="22" fillId="6" borderId="27" xfId="1" applyFont="1" applyFill="1" applyBorder="1" applyAlignment="1">
      <alignment horizontal="center" vertical="center" wrapText="1"/>
    </xf>
    <xf numFmtId="0" fontId="22" fillId="17" borderId="16" xfId="1" applyFont="1" applyFill="1" applyBorder="1" applyAlignment="1">
      <alignment horizontal="center" vertical="center" wrapText="1"/>
    </xf>
    <xf numFmtId="0" fontId="22" fillId="17" borderId="17" xfId="1" applyFont="1" applyFill="1" applyBorder="1" applyAlignment="1">
      <alignment horizontal="center" vertical="center" wrapText="1"/>
    </xf>
    <xf numFmtId="0" fontId="22" fillId="17" borderId="14" xfId="1" applyFont="1" applyFill="1" applyBorder="1" applyAlignment="1">
      <alignment horizontal="center" vertical="center" wrapText="1"/>
    </xf>
    <xf numFmtId="0" fontId="22" fillId="17" borderId="35" xfId="1" applyFont="1" applyFill="1" applyBorder="1" applyAlignment="1">
      <alignment horizontal="center" vertical="center" wrapText="1"/>
    </xf>
    <xf numFmtId="0" fontId="19" fillId="3" borderId="36" xfId="1" applyFont="1" applyFill="1" applyBorder="1" applyAlignment="1">
      <alignment horizontal="center" vertical="center"/>
    </xf>
    <xf numFmtId="0" fontId="19" fillId="3" borderId="37" xfId="1" applyFont="1" applyFill="1" applyBorder="1" applyAlignment="1">
      <alignment horizontal="center" vertical="center"/>
    </xf>
    <xf numFmtId="0" fontId="11" fillId="19" borderId="16" xfId="1" applyFont="1" applyFill="1" applyBorder="1" applyAlignment="1">
      <alignment horizontal="center" vertical="center"/>
    </xf>
    <xf numFmtId="0" fontId="11" fillId="19" borderId="22" xfId="1" applyFont="1" applyFill="1" applyBorder="1" applyAlignment="1">
      <alignment horizontal="center" vertical="center"/>
    </xf>
    <xf numFmtId="0" fontId="11" fillId="19" borderId="14" xfId="1" applyFont="1" applyFill="1" applyBorder="1" applyAlignment="1">
      <alignment horizontal="center" vertical="center"/>
    </xf>
    <xf numFmtId="0" fontId="11" fillId="19" borderId="15" xfId="1" applyFont="1" applyFill="1" applyBorder="1" applyAlignment="1">
      <alignment horizontal="center" vertical="center"/>
    </xf>
    <xf numFmtId="0" fontId="11" fillId="19" borderId="10" xfId="1" applyFont="1" applyFill="1" applyBorder="1" applyAlignment="1">
      <alignment horizontal="center" vertical="center"/>
    </xf>
    <xf numFmtId="0" fontId="11" fillId="19" borderId="11" xfId="1" applyFont="1" applyFill="1" applyBorder="1" applyAlignment="1">
      <alignment horizontal="center" vertical="center"/>
    </xf>
    <xf numFmtId="0" fontId="11" fillId="19" borderId="12" xfId="1" applyFont="1" applyFill="1" applyBorder="1" applyAlignment="1">
      <alignment horizontal="center" vertical="center"/>
    </xf>
    <xf numFmtId="0" fontId="11" fillId="13" borderId="16" xfId="1" applyFont="1" applyFill="1" applyBorder="1" applyAlignment="1">
      <alignment horizontal="center" vertical="center"/>
    </xf>
    <xf numFmtId="0" fontId="11" fillId="13" borderId="22" xfId="1" applyFont="1" applyFill="1" applyBorder="1" applyAlignment="1">
      <alignment horizontal="center" vertical="center"/>
    </xf>
    <xf numFmtId="0" fontId="11" fillId="13" borderId="14" xfId="1" applyFont="1" applyFill="1" applyBorder="1" applyAlignment="1">
      <alignment horizontal="center" vertical="center"/>
    </xf>
    <xf numFmtId="0" fontId="11" fillId="13" borderId="15" xfId="1" applyFont="1" applyFill="1" applyBorder="1" applyAlignment="1">
      <alignment horizontal="center" vertical="center"/>
    </xf>
    <xf numFmtId="0" fontId="11" fillId="13" borderId="19" xfId="1" applyFont="1" applyFill="1" applyBorder="1" applyAlignment="1">
      <alignment horizontal="center" vertical="center"/>
    </xf>
    <xf numFmtId="0" fontId="11" fillId="13" borderId="13" xfId="1" applyFont="1" applyFill="1" applyBorder="1" applyAlignment="1">
      <alignment horizontal="center" vertical="center"/>
    </xf>
    <xf numFmtId="0" fontId="22" fillId="6" borderId="21" xfId="1" applyFont="1" applyFill="1" applyBorder="1" applyAlignment="1">
      <alignment horizontal="center" vertical="center"/>
    </xf>
    <xf numFmtId="0" fontId="22" fillId="6" borderId="20" xfId="1" applyFont="1" applyFill="1" applyBorder="1" applyAlignment="1">
      <alignment horizontal="center" vertical="center"/>
    </xf>
    <xf numFmtId="0" fontId="22" fillId="6" borderId="14" xfId="1" applyFont="1" applyFill="1" applyBorder="1" applyAlignment="1">
      <alignment horizontal="center" vertical="center"/>
    </xf>
    <xf numFmtId="0" fontId="22" fillId="6" borderId="15" xfId="1" applyFont="1" applyFill="1" applyBorder="1" applyAlignment="1">
      <alignment horizontal="center" vertical="center"/>
    </xf>
    <xf numFmtId="0" fontId="22" fillId="13" borderId="21" xfId="1" applyFont="1" applyFill="1" applyBorder="1" applyAlignment="1">
      <alignment horizontal="center" vertical="center"/>
    </xf>
    <xf numFmtId="0" fontId="22" fillId="13" borderId="20" xfId="1" applyFont="1" applyFill="1" applyBorder="1" applyAlignment="1">
      <alignment horizontal="center" vertical="center"/>
    </xf>
    <xf numFmtId="0" fontId="22" fillId="13" borderId="14" xfId="1" applyFont="1" applyFill="1" applyBorder="1" applyAlignment="1">
      <alignment horizontal="center" vertical="center"/>
    </xf>
    <xf numFmtId="0" fontId="22" fillId="13" borderId="15" xfId="1" applyFont="1" applyFill="1" applyBorder="1" applyAlignment="1">
      <alignment horizontal="center" vertical="center"/>
    </xf>
    <xf numFmtId="0" fontId="22" fillId="19" borderId="21" xfId="1" applyFont="1" applyFill="1" applyBorder="1" applyAlignment="1">
      <alignment horizontal="center" vertical="center"/>
    </xf>
    <xf numFmtId="0" fontId="22" fillId="19" borderId="20" xfId="1" applyFont="1" applyFill="1" applyBorder="1" applyAlignment="1">
      <alignment horizontal="center" vertical="center"/>
    </xf>
    <xf numFmtId="0" fontId="22" fillId="19" borderId="14" xfId="1" applyFont="1" applyFill="1" applyBorder="1" applyAlignment="1">
      <alignment horizontal="center" vertical="center"/>
    </xf>
    <xf numFmtId="0" fontId="22" fillId="19" borderId="15" xfId="1" applyFont="1" applyFill="1" applyBorder="1" applyAlignment="1">
      <alignment horizontal="center" vertical="center"/>
    </xf>
    <xf numFmtId="0" fontId="18" fillId="17" borderId="25" xfId="1" applyFont="1" applyFill="1" applyBorder="1" applyAlignment="1">
      <alignment horizontal="center" vertical="center" wrapText="1"/>
    </xf>
    <xf numFmtId="0" fontId="18" fillId="17" borderId="23" xfId="1" applyFont="1" applyFill="1" applyBorder="1" applyAlignment="1">
      <alignment horizontal="center" vertical="center" wrapText="1"/>
    </xf>
    <xf numFmtId="0" fontId="11" fillId="9" borderId="0" xfId="1" applyFont="1" applyFill="1" applyAlignment="1">
      <alignment horizontal="center" vertical="center"/>
    </xf>
    <xf numFmtId="0" fontId="35" fillId="15" borderId="0" xfId="1" applyFont="1" applyFill="1" applyAlignment="1">
      <alignment horizontal="center" vertical="center" wrapText="1"/>
    </xf>
    <xf numFmtId="0" fontId="36" fillId="20" borderId="0" xfId="1" applyFont="1" applyFill="1" applyAlignment="1">
      <alignment horizontal="center" vertical="center" wrapText="1"/>
    </xf>
    <xf numFmtId="0" fontId="37" fillId="21" borderId="0" xfId="1" applyFont="1" applyFill="1" applyAlignment="1">
      <alignment horizontal="center" vertical="center" wrapText="1"/>
    </xf>
    <xf numFmtId="0" fontId="37" fillId="21" borderId="20" xfId="1" applyFont="1" applyFill="1" applyBorder="1" applyAlignment="1">
      <alignment horizontal="center" vertical="center" wrapText="1"/>
    </xf>
    <xf numFmtId="0" fontId="39" fillId="18" borderId="16" xfId="1" applyFont="1" applyFill="1" applyBorder="1" applyAlignment="1">
      <alignment horizontal="center" vertical="center"/>
    </xf>
    <xf numFmtId="0" fontId="39" fillId="18" borderId="22" xfId="1" applyFont="1" applyFill="1" applyBorder="1" applyAlignment="1">
      <alignment horizontal="center" vertical="center"/>
    </xf>
    <xf numFmtId="0" fontId="39" fillId="18" borderId="14" xfId="1" applyFont="1" applyFill="1" applyBorder="1" applyAlignment="1">
      <alignment horizontal="center" vertical="center"/>
    </xf>
    <xf numFmtId="0" fontId="39" fillId="18" borderId="15" xfId="1" applyFont="1" applyFill="1" applyBorder="1" applyAlignment="1">
      <alignment horizontal="center" vertical="center"/>
    </xf>
    <xf numFmtId="0" fontId="37" fillId="22" borderId="0" xfId="1" applyFont="1" applyFill="1" applyAlignment="1">
      <alignment horizontal="center" vertical="center" wrapText="1"/>
    </xf>
    <xf numFmtId="0" fontId="37" fillId="22" borderId="20" xfId="1" applyFont="1" applyFill="1" applyBorder="1" applyAlignment="1">
      <alignment horizontal="center" vertical="center" wrapText="1"/>
    </xf>
    <xf numFmtId="0" fontId="14" fillId="4" borderId="16" xfId="1" applyFont="1" applyFill="1" applyBorder="1" applyAlignment="1">
      <alignment horizontal="center" vertical="center"/>
    </xf>
    <xf numFmtId="0" fontId="14" fillId="4" borderId="19" xfId="1" applyFont="1" applyFill="1" applyBorder="1" applyAlignment="1">
      <alignment horizontal="center" vertical="center"/>
    </xf>
    <xf numFmtId="0" fontId="14" fillId="4" borderId="22" xfId="1" applyFont="1" applyFill="1" applyBorder="1" applyAlignment="1">
      <alignment horizontal="center" vertical="center"/>
    </xf>
    <xf numFmtId="0" fontId="14" fillId="13" borderId="16" xfId="1" applyFont="1" applyFill="1" applyBorder="1" applyAlignment="1">
      <alignment horizontal="center" vertical="center"/>
    </xf>
    <xf numFmtId="0" fontId="14" fillId="13" borderId="19" xfId="1" applyFont="1" applyFill="1" applyBorder="1" applyAlignment="1">
      <alignment horizontal="center" vertical="center"/>
    </xf>
    <xf numFmtId="0" fontId="14" fillId="13" borderId="22" xfId="1" applyFont="1" applyFill="1" applyBorder="1" applyAlignment="1">
      <alignment horizontal="center" vertical="center"/>
    </xf>
    <xf numFmtId="0" fontId="14" fillId="13" borderId="21" xfId="1" applyFont="1" applyFill="1" applyBorder="1" applyAlignment="1">
      <alignment horizontal="center" vertical="center"/>
    </xf>
    <xf numFmtId="0" fontId="14" fillId="13" borderId="0" xfId="1" applyFont="1" applyFill="1" applyAlignment="1">
      <alignment horizontal="center" vertical="center"/>
    </xf>
    <xf numFmtId="0" fontId="14" fillId="13" borderId="20" xfId="1" applyFont="1" applyFill="1" applyBorder="1" applyAlignment="1">
      <alignment horizontal="center" vertical="center"/>
    </xf>
    <xf numFmtId="0" fontId="14" fillId="19" borderId="19" xfId="1" applyFont="1" applyFill="1" applyBorder="1" applyAlignment="1">
      <alignment horizontal="center" vertical="center"/>
    </xf>
    <xf numFmtId="0" fontId="14" fillId="19" borderId="0" xfId="1" applyFont="1" applyFill="1" applyAlignment="1">
      <alignment horizontal="center" vertical="center"/>
    </xf>
    <xf numFmtId="0" fontId="14" fillId="19" borderId="13" xfId="1" applyFont="1" applyFill="1" applyBorder="1" applyAlignment="1">
      <alignment horizontal="center" vertical="center"/>
    </xf>
    <xf numFmtId="0" fontId="43" fillId="4" borderId="16" xfId="1" applyFont="1" applyFill="1" applyBorder="1" applyAlignment="1">
      <alignment horizontal="center" vertical="center" wrapText="1"/>
    </xf>
    <xf numFmtId="0" fontId="43" fillId="4" borderId="22" xfId="1" applyFont="1" applyFill="1" applyBorder="1" applyAlignment="1">
      <alignment horizontal="center" vertical="center" wrapText="1"/>
    </xf>
    <xf numFmtId="0" fontId="43" fillId="4" borderId="14" xfId="1" applyFont="1" applyFill="1" applyBorder="1" applyAlignment="1">
      <alignment horizontal="center" vertical="center" wrapText="1"/>
    </xf>
    <xf numFmtId="0" fontId="43" fillId="4" borderId="15" xfId="1" applyFont="1" applyFill="1" applyBorder="1" applyAlignment="1">
      <alignment horizontal="center" vertical="center" wrapText="1"/>
    </xf>
    <xf numFmtId="0" fontId="14" fillId="13" borderId="14" xfId="1" applyFont="1" applyFill="1" applyBorder="1" applyAlignment="1">
      <alignment horizontal="center" vertical="center"/>
    </xf>
    <xf numFmtId="0" fontId="14" fillId="13" borderId="15" xfId="1" applyFont="1" applyFill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</cellXfs>
  <cellStyles count="2">
    <cellStyle name="常规" xfId="0" builtinId="0"/>
    <cellStyle name="常规 2" xfId="1" xr:uid="{F51137C5-01D7-425C-BCB3-4E3EB453B0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39EA-C5AE-4FCD-AB73-8F9763331D7E}">
  <dimension ref="A1:BJ19"/>
  <sheetViews>
    <sheetView tabSelected="1" zoomScale="29" zoomScaleNormal="29" workbookViewId="0">
      <selection activeCell="AH24" sqref="AH24"/>
    </sheetView>
  </sheetViews>
  <sheetFormatPr defaultColWidth="17.6328125" defaultRowHeight="100" customHeight="1" x14ac:dyDescent="0.25"/>
  <cols>
    <col min="1" max="35" width="17.6328125" style="1"/>
    <col min="36" max="47" width="17.6328125" style="1" customWidth="1"/>
    <col min="48" max="16384" width="17.6328125" style="1"/>
  </cols>
  <sheetData>
    <row r="1" spans="1:62" ht="100" customHeight="1" thickBot="1" x14ac:dyDescent="0.3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  <c r="AO1" s="3">
        <v>40</v>
      </c>
      <c r="AP1" s="3">
        <v>41</v>
      </c>
      <c r="AQ1" s="3">
        <v>42</v>
      </c>
      <c r="AR1" s="3">
        <v>43</v>
      </c>
      <c r="AS1" s="3">
        <v>44</v>
      </c>
      <c r="AT1" s="3">
        <v>45</v>
      </c>
      <c r="AU1" s="3">
        <v>46</v>
      </c>
      <c r="AV1" s="3">
        <v>47</v>
      </c>
      <c r="AW1" s="3">
        <v>48</v>
      </c>
      <c r="AX1" s="3">
        <v>49</v>
      </c>
      <c r="AY1" s="3">
        <v>50</v>
      </c>
      <c r="AZ1" s="3">
        <v>51</v>
      </c>
      <c r="BA1" s="3">
        <v>52</v>
      </c>
      <c r="BB1" s="3">
        <v>53</v>
      </c>
      <c r="BC1" s="3">
        <v>54</v>
      </c>
      <c r="BD1" s="3">
        <v>55</v>
      </c>
      <c r="BE1" s="3">
        <v>56</v>
      </c>
      <c r="BF1" s="3">
        <v>57</v>
      </c>
      <c r="BG1" s="3">
        <v>58</v>
      </c>
      <c r="BH1" s="3">
        <v>59</v>
      </c>
      <c r="BI1" s="3">
        <v>60</v>
      </c>
      <c r="BJ1" s="3"/>
    </row>
    <row r="2" spans="1:62" ht="100" customHeight="1" thickBot="1" x14ac:dyDescent="0.3">
      <c r="A2" s="3">
        <v>1</v>
      </c>
      <c r="B2" s="130" t="s">
        <v>41</v>
      </c>
      <c r="C2" s="130"/>
      <c r="D2" s="4" t="s">
        <v>0</v>
      </c>
      <c r="E2" s="2" t="s">
        <v>2</v>
      </c>
      <c r="F2" s="126" t="s">
        <v>42</v>
      </c>
      <c r="G2" s="127"/>
      <c r="H2" s="126" t="s">
        <v>43</v>
      </c>
      <c r="I2" s="127"/>
      <c r="J2" s="126" t="s">
        <v>44</v>
      </c>
      <c r="K2" s="127"/>
      <c r="L2" s="126" t="s">
        <v>45</v>
      </c>
      <c r="M2" s="127"/>
      <c r="N2" s="126" t="s">
        <v>46</v>
      </c>
      <c r="O2" s="127"/>
      <c r="P2" s="126" t="s">
        <v>47</v>
      </c>
      <c r="Q2" s="127"/>
      <c r="R2" s="126" t="s">
        <v>48</v>
      </c>
      <c r="S2" s="127"/>
      <c r="T2" s="126" t="s">
        <v>49</v>
      </c>
      <c r="U2" s="127"/>
      <c r="V2" s="126" t="s">
        <v>50</v>
      </c>
      <c r="W2" s="127"/>
      <c r="X2" s="126" t="s">
        <v>51</v>
      </c>
      <c r="Y2" s="127"/>
      <c r="Z2" s="126" t="s">
        <v>52</v>
      </c>
      <c r="AA2" s="127"/>
      <c r="AB2" s="126" t="s">
        <v>53</v>
      </c>
      <c r="AC2" s="127"/>
      <c r="AD2" s="126" t="s">
        <v>54</v>
      </c>
      <c r="AE2" s="127"/>
      <c r="AF2" s="126" t="s">
        <v>55</v>
      </c>
      <c r="AG2" s="127"/>
      <c r="AH2" s="126" t="s">
        <v>56</v>
      </c>
      <c r="AI2" s="127"/>
      <c r="AJ2" s="126" t="s">
        <v>57</v>
      </c>
      <c r="AK2" s="127"/>
      <c r="AL2" s="126" t="s">
        <v>58</v>
      </c>
      <c r="AM2" s="127"/>
      <c r="AN2" s="126" t="s">
        <v>59</v>
      </c>
      <c r="AO2" s="127"/>
      <c r="AP2" s="126" t="s">
        <v>60</v>
      </c>
      <c r="AQ2" s="127"/>
      <c r="AR2" s="126" t="s">
        <v>61</v>
      </c>
      <c r="AS2" s="127"/>
      <c r="AT2" s="126" t="s">
        <v>62</v>
      </c>
      <c r="AU2" s="127"/>
      <c r="AV2" s="126" t="s">
        <v>63</v>
      </c>
      <c r="AW2" s="127"/>
      <c r="AX2" s="126" t="s">
        <v>64</v>
      </c>
      <c r="AY2" s="127"/>
      <c r="AZ2" s="126" t="s">
        <v>65</v>
      </c>
      <c r="BA2" s="127"/>
      <c r="BB2" s="126" t="s">
        <v>217</v>
      </c>
      <c r="BC2" s="127"/>
      <c r="BD2" s="124" t="s">
        <v>67</v>
      </c>
      <c r="BE2" s="124" t="s">
        <v>68</v>
      </c>
      <c r="BF2" s="124" t="s">
        <v>69</v>
      </c>
      <c r="BG2" s="124" t="s">
        <v>70</v>
      </c>
      <c r="BH2" s="124" t="s">
        <v>71</v>
      </c>
      <c r="BI2" s="124" t="s">
        <v>218</v>
      </c>
      <c r="BJ2" s="3">
        <v>1</v>
      </c>
    </row>
    <row r="3" spans="1:62" ht="100" customHeight="1" thickBot="1" x14ac:dyDescent="0.3">
      <c r="A3" s="3">
        <v>2</v>
      </c>
      <c r="B3" s="130"/>
      <c r="C3" s="130"/>
      <c r="D3" s="4" t="s">
        <v>1</v>
      </c>
      <c r="E3" s="2" t="s">
        <v>66</v>
      </c>
      <c r="F3" s="128"/>
      <c r="G3" s="129"/>
      <c r="H3" s="128"/>
      <c r="I3" s="129"/>
      <c r="J3" s="128"/>
      <c r="K3" s="129"/>
      <c r="L3" s="128"/>
      <c r="M3" s="129"/>
      <c r="N3" s="128"/>
      <c r="O3" s="129"/>
      <c r="P3" s="128"/>
      <c r="Q3" s="129"/>
      <c r="R3" s="128"/>
      <c r="S3" s="129"/>
      <c r="T3" s="128"/>
      <c r="U3" s="129"/>
      <c r="V3" s="128"/>
      <c r="W3" s="129"/>
      <c r="X3" s="128"/>
      <c r="Y3" s="129"/>
      <c r="Z3" s="128"/>
      <c r="AA3" s="129"/>
      <c r="AB3" s="128"/>
      <c r="AC3" s="129"/>
      <c r="AD3" s="128"/>
      <c r="AE3" s="129"/>
      <c r="AF3" s="128"/>
      <c r="AG3" s="129"/>
      <c r="AH3" s="128"/>
      <c r="AI3" s="129"/>
      <c r="AJ3" s="128"/>
      <c r="AK3" s="129"/>
      <c r="AL3" s="128"/>
      <c r="AM3" s="129"/>
      <c r="AN3" s="128"/>
      <c r="AO3" s="129"/>
      <c r="AP3" s="128"/>
      <c r="AQ3" s="129"/>
      <c r="AR3" s="128"/>
      <c r="AS3" s="129"/>
      <c r="AT3" s="128"/>
      <c r="AU3" s="129"/>
      <c r="AV3" s="128"/>
      <c r="AW3" s="129"/>
      <c r="AX3" s="128"/>
      <c r="AY3" s="129"/>
      <c r="AZ3" s="128"/>
      <c r="BA3" s="129"/>
      <c r="BB3" s="128"/>
      <c r="BC3" s="129"/>
      <c r="BD3" s="125"/>
      <c r="BE3" s="125"/>
      <c r="BF3" s="125"/>
      <c r="BG3" s="125"/>
      <c r="BH3" s="125"/>
      <c r="BI3" s="125"/>
      <c r="BJ3" s="3">
        <v>2</v>
      </c>
    </row>
    <row r="4" spans="1:62" ht="100" customHeight="1" thickBot="1" x14ac:dyDescent="0.3">
      <c r="A4" s="3">
        <v>3</v>
      </c>
      <c r="B4" s="174" t="s">
        <v>7</v>
      </c>
      <c r="C4" s="175"/>
      <c r="D4" s="175"/>
      <c r="E4" s="176"/>
      <c r="F4" s="177" t="s">
        <v>208</v>
      </c>
      <c r="G4" s="178"/>
      <c r="H4" s="178"/>
      <c r="I4" s="179"/>
      <c r="J4" s="177" t="s">
        <v>329</v>
      </c>
      <c r="K4" s="178"/>
      <c r="L4" s="178"/>
      <c r="M4" s="183"/>
      <c r="N4" s="185" t="s">
        <v>330</v>
      </c>
      <c r="O4" s="178"/>
      <c r="P4" s="178"/>
      <c r="Q4" s="183"/>
      <c r="R4" s="185" t="s">
        <v>331</v>
      </c>
      <c r="S4" s="178"/>
      <c r="T4" s="178"/>
      <c r="U4" s="183"/>
      <c r="V4" s="185" t="s">
        <v>332</v>
      </c>
      <c r="W4" s="178"/>
      <c r="X4" s="178"/>
      <c r="Y4" s="183"/>
      <c r="Z4" s="185" t="s">
        <v>333</v>
      </c>
      <c r="AA4" s="178"/>
      <c r="AB4" s="178"/>
      <c r="AC4" s="183"/>
      <c r="AD4" s="185" t="s">
        <v>334</v>
      </c>
      <c r="AE4" s="178"/>
      <c r="AF4" s="178"/>
      <c r="AG4" s="183"/>
      <c r="AH4" s="185" t="s">
        <v>335</v>
      </c>
      <c r="AI4" s="178"/>
      <c r="AJ4" s="178"/>
      <c r="AK4" s="179"/>
      <c r="AL4" s="187" t="s">
        <v>7</v>
      </c>
      <c r="AM4" s="188"/>
      <c r="AN4" s="188"/>
      <c r="AO4" s="189"/>
      <c r="AP4" s="168" t="s">
        <v>315</v>
      </c>
      <c r="AQ4" s="169"/>
      <c r="AR4" s="169"/>
      <c r="AS4" s="170"/>
      <c r="AT4" s="168" t="s">
        <v>212</v>
      </c>
      <c r="AU4" s="169"/>
      <c r="AV4" s="169"/>
      <c r="AW4" s="170"/>
      <c r="AX4" s="168" t="s">
        <v>213</v>
      </c>
      <c r="AY4" s="169"/>
      <c r="AZ4" s="169"/>
      <c r="BA4" s="170"/>
      <c r="BB4" s="168" t="s">
        <v>214</v>
      </c>
      <c r="BC4" s="169"/>
      <c r="BD4" s="169"/>
      <c r="BE4" s="170"/>
      <c r="BF4" s="168" t="s">
        <v>215</v>
      </c>
      <c r="BG4" s="169"/>
      <c r="BH4" s="169"/>
      <c r="BI4" s="170"/>
      <c r="BJ4" s="3">
        <v>3</v>
      </c>
    </row>
    <row r="5" spans="1:62" ht="100" customHeight="1" thickBot="1" x14ac:dyDescent="0.3">
      <c r="A5" s="3">
        <v>4</v>
      </c>
      <c r="B5" s="174" t="s">
        <v>314</v>
      </c>
      <c r="C5" s="175"/>
      <c r="D5" s="175"/>
      <c r="E5" s="176"/>
      <c r="F5" s="180"/>
      <c r="G5" s="181"/>
      <c r="H5" s="181"/>
      <c r="I5" s="182"/>
      <c r="J5" s="180"/>
      <c r="K5" s="181"/>
      <c r="L5" s="181"/>
      <c r="M5" s="184"/>
      <c r="N5" s="186"/>
      <c r="O5" s="181"/>
      <c r="P5" s="181"/>
      <c r="Q5" s="184"/>
      <c r="R5" s="186"/>
      <c r="S5" s="181"/>
      <c r="T5" s="181"/>
      <c r="U5" s="184"/>
      <c r="V5" s="186"/>
      <c r="W5" s="181"/>
      <c r="X5" s="181"/>
      <c r="Y5" s="184"/>
      <c r="Z5" s="186"/>
      <c r="AA5" s="181"/>
      <c r="AB5" s="181"/>
      <c r="AC5" s="184"/>
      <c r="AD5" s="186"/>
      <c r="AE5" s="181"/>
      <c r="AF5" s="181"/>
      <c r="AG5" s="184"/>
      <c r="AH5" s="186"/>
      <c r="AI5" s="181"/>
      <c r="AJ5" s="181"/>
      <c r="AK5" s="182"/>
      <c r="AL5" s="187" t="s">
        <v>314</v>
      </c>
      <c r="AM5" s="188"/>
      <c r="AN5" s="188"/>
      <c r="AO5" s="189"/>
      <c r="AP5" s="171"/>
      <c r="AQ5" s="172"/>
      <c r="AR5" s="172"/>
      <c r="AS5" s="173"/>
      <c r="AT5" s="171"/>
      <c r="AU5" s="172"/>
      <c r="AV5" s="172"/>
      <c r="AW5" s="173"/>
      <c r="AX5" s="171"/>
      <c r="AY5" s="172"/>
      <c r="AZ5" s="172"/>
      <c r="BA5" s="173"/>
      <c r="BB5" s="171"/>
      <c r="BC5" s="172"/>
      <c r="BD5" s="172"/>
      <c r="BE5" s="173"/>
      <c r="BF5" s="171"/>
      <c r="BG5" s="172"/>
      <c r="BH5" s="172"/>
      <c r="BI5" s="173"/>
      <c r="BJ5" s="3">
        <v>4</v>
      </c>
    </row>
    <row r="6" spans="1:62" ht="100" customHeight="1" thickBot="1" x14ac:dyDescent="0.3">
      <c r="A6" s="3">
        <v>5</v>
      </c>
      <c r="B6" s="149" t="s">
        <v>8</v>
      </c>
      <c r="C6" s="150"/>
      <c r="D6" s="153" t="s">
        <v>7</v>
      </c>
      <c r="E6" s="154"/>
      <c r="F6" s="154"/>
      <c r="G6" s="155"/>
      <c r="H6" s="156" t="s">
        <v>336</v>
      </c>
      <c r="I6" s="157"/>
      <c r="J6" s="157"/>
      <c r="K6" s="157"/>
      <c r="L6" s="157"/>
      <c r="M6" s="158"/>
      <c r="N6" s="156" t="s">
        <v>209</v>
      </c>
      <c r="O6" s="157"/>
      <c r="P6" s="157"/>
      <c r="Q6" s="157"/>
      <c r="R6" s="157"/>
      <c r="S6" s="158"/>
      <c r="T6" s="156" t="s">
        <v>210</v>
      </c>
      <c r="U6" s="157"/>
      <c r="V6" s="157"/>
      <c r="W6" s="157"/>
      <c r="X6" s="157"/>
      <c r="Y6" s="158"/>
      <c r="Z6" s="156" t="s">
        <v>211</v>
      </c>
      <c r="AA6" s="157"/>
      <c r="AB6" s="157"/>
      <c r="AC6" s="157"/>
      <c r="AD6" s="157"/>
      <c r="AE6" s="158"/>
      <c r="AF6" s="126" t="s">
        <v>6</v>
      </c>
      <c r="AG6" s="127"/>
      <c r="AH6" s="141" t="s">
        <v>3</v>
      </c>
      <c r="AI6" s="145"/>
      <c r="AJ6" s="141" t="s">
        <v>4</v>
      </c>
      <c r="AK6" s="142"/>
      <c r="AL6" s="141" t="s">
        <v>5</v>
      </c>
      <c r="AM6" s="142"/>
      <c r="AN6" s="114" t="s">
        <v>350</v>
      </c>
      <c r="AO6" s="114" t="s">
        <v>351</v>
      </c>
      <c r="AP6" s="114" t="s">
        <v>352</v>
      </c>
      <c r="AQ6" s="114" t="s">
        <v>353</v>
      </c>
      <c r="AR6" s="114" t="s">
        <v>346</v>
      </c>
      <c r="AS6" s="114" t="s">
        <v>348</v>
      </c>
      <c r="AT6" s="114" t="s">
        <v>347</v>
      </c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 t="s">
        <v>345</v>
      </c>
      <c r="BG6" s="114" t="s">
        <v>361</v>
      </c>
      <c r="BH6" s="114" t="s">
        <v>358</v>
      </c>
      <c r="BI6" s="114" t="s">
        <v>359</v>
      </c>
      <c r="BJ6" s="3">
        <v>5</v>
      </c>
    </row>
    <row r="7" spans="1:62" ht="100" customHeight="1" thickBot="1" x14ac:dyDescent="0.3">
      <c r="A7" s="3">
        <v>6</v>
      </c>
      <c r="B7" s="151"/>
      <c r="C7" s="152"/>
      <c r="D7" s="156" t="s">
        <v>314</v>
      </c>
      <c r="E7" s="157"/>
      <c r="F7" s="157"/>
      <c r="G7" s="158"/>
      <c r="H7" s="159"/>
      <c r="I7" s="160"/>
      <c r="J7" s="160"/>
      <c r="K7" s="160"/>
      <c r="L7" s="160"/>
      <c r="M7" s="161"/>
      <c r="N7" s="159"/>
      <c r="O7" s="160"/>
      <c r="P7" s="160"/>
      <c r="Q7" s="160"/>
      <c r="R7" s="160"/>
      <c r="S7" s="161"/>
      <c r="T7" s="159"/>
      <c r="U7" s="160"/>
      <c r="V7" s="160"/>
      <c r="W7" s="160"/>
      <c r="X7" s="160"/>
      <c r="Y7" s="161"/>
      <c r="Z7" s="159"/>
      <c r="AA7" s="160"/>
      <c r="AB7" s="160"/>
      <c r="AC7" s="160"/>
      <c r="AD7" s="160"/>
      <c r="AE7" s="161"/>
      <c r="AF7" s="128"/>
      <c r="AG7" s="129"/>
      <c r="AH7" s="143"/>
      <c r="AI7" s="146"/>
      <c r="AJ7" s="143"/>
      <c r="AK7" s="144"/>
      <c r="AL7" s="143"/>
      <c r="AM7" s="144"/>
      <c r="AN7" s="116" t="s">
        <v>312</v>
      </c>
      <c r="AO7" s="116" t="s">
        <v>313</v>
      </c>
      <c r="AP7" s="116" t="s">
        <v>312</v>
      </c>
      <c r="AQ7" s="116" t="s">
        <v>313</v>
      </c>
      <c r="AR7" s="116" t="s">
        <v>312</v>
      </c>
      <c r="AS7" s="116" t="s">
        <v>313</v>
      </c>
      <c r="AT7" s="116" t="s">
        <v>312</v>
      </c>
      <c r="AU7" s="116" t="s">
        <v>313</v>
      </c>
      <c r="AV7" s="116" t="s">
        <v>312</v>
      </c>
      <c r="AW7" s="116" t="s">
        <v>313</v>
      </c>
      <c r="AX7" s="116" t="s">
        <v>312</v>
      </c>
      <c r="AY7" s="116" t="s">
        <v>313</v>
      </c>
      <c r="AZ7" s="116" t="s">
        <v>312</v>
      </c>
      <c r="BA7" s="116" t="s">
        <v>313</v>
      </c>
      <c r="BB7" s="116" t="s">
        <v>312</v>
      </c>
      <c r="BC7" s="116" t="s">
        <v>313</v>
      </c>
      <c r="BD7" s="116" t="s">
        <v>312</v>
      </c>
      <c r="BE7" s="116" t="s">
        <v>313</v>
      </c>
      <c r="BF7" s="116" t="s">
        <v>312</v>
      </c>
      <c r="BG7" s="116" t="s">
        <v>313</v>
      </c>
      <c r="BH7" s="116" t="s">
        <v>312</v>
      </c>
      <c r="BI7" s="116" t="s">
        <v>313</v>
      </c>
      <c r="BJ7" s="3">
        <v>6</v>
      </c>
    </row>
    <row r="8" spans="1:62" ht="100" customHeight="1" thickBot="1" x14ac:dyDescent="0.3">
      <c r="A8" s="3">
        <v>7</v>
      </c>
      <c r="B8" s="114" t="s">
        <v>219</v>
      </c>
      <c r="C8" s="114" t="s">
        <v>220</v>
      </c>
      <c r="D8" s="114" t="s">
        <v>221</v>
      </c>
      <c r="E8" s="114" t="s">
        <v>222</v>
      </c>
      <c r="F8" s="114" t="s">
        <v>223</v>
      </c>
      <c r="G8" s="114" t="s">
        <v>224</v>
      </c>
      <c r="H8" s="114" t="s">
        <v>225</v>
      </c>
      <c r="I8" s="114" t="s">
        <v>226</v>
      </c>
      <c r="J8" s="114" t="s">
        <v>227</v>
      </c>
      <c r="K8" s="114" t="s">
        <v>228</v>
      </c>
      <c r="L8" s="114" t="s">
        <v>229</v>
      </c>
      <c r="M8" s="114" t="s">
        <v>230</v>
      </c>
      <c r="N8" s="114" t="s">
        <v>231</v>
      </c>
      <c r="O8" s="114" t="s">
        <v>232</v>
      </c>
      <c r="P8" s="114" t="s">
        <v>233</v>
      </c>
      <c r="Q8" s="114" t="s">
        <v>234</v>
      </c>
      <c r="R8" s="114" t="s">
        <v>235</v>
      </c>
      <c r="S8" s="114" t="s">
        <v>236</v>
      </c>
      <c r="T8" s="114" t="s">
        <v>237</v>
      </c>
      <c r="U8" s="114" t="s">
        <v>238</v>
      </c>
      <c r="V8" s="114" t="s">
        <v>239</v>
      </c>
      <c r="W8" s="114" t="s">
        <v>240</v>
      </c>
      <c r="X8" s="114" t="s">
        <v>241</v>
      </c>
      <c r="Y8" s="114" t="s">
        <v>242</v>
      </c>
      <c r="Z8" s="114" t="s">
        <v>243</v>
      </c>
      <c r="AA8" s="114" t="s">
        <v>311</v>
      </c>
      <c r="AB8" s="109">
        <v>27</v>
      </c>
      <c r="AC8" s="109">
        <v>28</v>
      </c>
      <c r="AD8" s="109">
        <v>29</v>
      </c>
      <c r="AE8" s="109">
        <v>30</v>
      </c>
      <c r="AF8" s="109">
        <v>31</v>
      </c>
      <c r="AG8" s="109">
        <v>32</v>
      </c>
      <c r="AH8" s="114" t="s">
        <v>244</v>
      </c>
      <c r="AI8" s="114" t="s">
        <v>245</v>
      </c>
      <c r="AJ8" s="114" t="s">
        <v>246</v>
      </c>
      <c r="AK8" s="114" t="s">
        <v>247</v>
      </c>
      <c r="AL8" s="114" t="s">
        <v>248</v>
      </c>
      <c r="AM8" s="114" t="s">
        <v>249</v>
      </c>
      <c r="AN8" s="114" t="s">
        <v>250</v>
      </c>
      <c r="AO8" s="114" t="s">
        <v>251</v>
      </c>
      <c r="AP8" s="114" t="s">
        <v>252</v>
      </c>
      <c r="AQ8" s="114" t="s">
        <v>253</v>
      </c>
      <c r="AR8" s="114" t="s">
        <v>254</v>
      </c>
      <c r="AS8" s="109">
        <v>12</v>
      </c>
      <c r="AT8" s="109">
        <v>13</v>
      </c>
      <c r="AU8" s="109">
        <v>14</v>
      </c>
      <c r="AV8" s="114" t="s">
        <v>255</v>
      </c>
      <c r="AW8" s="114" t="s">
        <v>256</v>
      </c>
      <c r="AX8" s="114" t="s">
        <v>257</v>
      </c>
      <c r="AY8" s="114" t="s">
        <v>258</v>
      </c>
      <c r="AZ8" s="114" t="s">
        <v>259</v>
      </c>
      <c r="BA8" s="114" t="s">
        <v>260</v>
      </c>
      <c r="BB8" s="114" t="s">
        <v>261</v>
      </c>
      <c r="BC8" s="114" t="s">
        <v>262</v>
      </c>
      <c r="BD8" s="114" t="s">
        <v>263</v>
      </c>
      <c r="BE8" s="114" t="s">
        <v>264</v>
      </c>
      <c r="BF8" s="114" t="s">
        <v>265</v>
      </c>
      <c r="BG8" s="109">
        <v>12</v>
      </c>
      <c r="BH8" s="109">
        <v>13</v>
      </c>
      <c r="BI8" s="109">
        <v>14</v>
      </c>
      <c r="BJ8" s="3">
        <v>7</v>
      </c>
    </row>
    <row r="9" spans="1:62" ht="100" customHeight="1" thickBot="1" x14ac:dyDescent="0.3">
      <c r="A9" s="3">
        <v>8</v>
      </c>
      <c r="B9" s="117" t="s">
        <v>316</v>
      </c>
      <c r="C9" s="117" t="s">
        <v>317</v>
      </c>
      <c r="D9" s="117" t="s">
        <v>222</v>
      </c>
      <c r="E9" s="117" t="s">
        <v>320</v>
      </c>
      <c r="F9" s="117" t="s">
        <v>318</v>
      </c>
      <c r="G9" s="117" t="s">
        <v>319</v>
      </c>
      <c r="H9" s="117" t="s">
        <v>321</v>
      </c>
      <c r="I9" s="117" t="s">
        <v>325</v>
      </c>
      <c r="J9" s="117" t="s">
        <v>322</v>
      </c>
      <c r="K9" s="117" t="s">
        <v>323</v>
      </c>
      <c r="L9" s="131" t="s">
        <v>337</v>
      </c>
      <c r="M9" s="132"/>
      <c r="N9" s="132"/>
      <c r="O9" s="133"/>
      <c r="P9" s="131" t="s">
        <v>338</v>
      </c>
      <c r="Q9" s="132"/>
      <c r="R9" s="132"/>
      <c r="S9" s="133"/>
      <c r="T9" s="131" t="s">
        <v>339</v>
      </c>
      <c r="U9" s="132"/>
      <c r="V9" s="132"/>
      <c r="W9" s="133"/>
      <c r="X9" s="131" t="s">
        <v>340</v>
      </c>
      <c r="Y9" s="132"/>
      <c r="Z9" s="132"/>
      <c r="AA9" s="133"/>
      <c r="AB9" s="131" t="s">
        <v>341</v>
      </c>
      <c r="AC9" s="132"/>
      <c r="AD9" s="132"/>
      <c r="AE9" s="133"/>
      <c r="AF9" s="118" t="s">
        <v>316</v>
      </c>
      <c r="AG9" s="119" t="s">
        <v>317</v>
      </c>
      <c r="AH9" s="119" t="s">
        <v>222</v>
      </c>
      <c r="AI9" s="119" t="s">
        <v>320</v>
      </c>
      <c r="AJ9" s="119" t="s">
        <v>318</v>
      </c>
      <c r="AK9" s="120" t="s">
        <v>319</v>
      </c>
      <c r="AL9" s="162" t="s">
        <v>15</v>
      </c>
      <c r="AM9" s="163"/>
      <c r="AN9" s="163"/>
      <c r="AO9" s="163"/>
      <c r="AP9" s="163"/>
      <c r="AQ9" s="164"/>
      <c r="AR9" s="162" t="s">
        <v>16</v>
      </c>
      <c r="AS9" s="163"/>
      <c r="AT9" s="163"/>
      <c r="AU9" s="163"/>
      <c r="AV9" s="163"/>
      <c r="AW9" s="164"/>
      <c r="AX9" s="162" t="s">
        <v>17</v>
      </c>
      <c r="AY9" s="163"/>
      <c r="AZ9" s="163"/>
      <c r="BA9" s="163"/>
      <c r="BB9" s="163"/>
      <c r="BC9" s="164"/>
      <c r="BD9" s="162" t="s">
        <v>18</v>
      </c>
      <c r="BE9" s="163"/>
      <c r="BF9" s="163"/>
      <c r="BG9" s="163"/>
      <c r="BH9" s="163"/>
      <c r="BI9" s="164"/>
      <c r="BJ9" s="3">
        <v>8</v>
      </c>
    </row>
    <row r="10" spans="1:62" ht="100" customHeight="1" thickBot="1" x14ac:dyDescent="0.3">
      <c r="A10" s="3">
        <v>9</v>
      </c>
      <c r="B10" s="131" t="s">
        <v>342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3"/>
      <c r="AF10" s="5" t="s">
        <v>324</v>
      </c>
      <c r="AG10" s="121" t="s">
        <v>10</v>
      </c>
      <c r="AH10" s="121" t="s">
        <v>11</v>
      </c>
      <c r="AI10" s="121" t="s">
        <v>12</v>
      </c>
      <c r="AJ10" s="121" t="s">
        <v>13</v>
      </c>
      <c r="AK10" s="122" t="s">
        <v>14</v>
      </c>
      <c r="AL10" s="165"/>
      <c r="AM10" s="166"/>
      <c r="AN10" s="166"/>
      <c r="AO10" s="166"/>
      <c r="AP10" s="166"/>
      <c r="AQ10" s="167"/>
      <c r="AR10" s="165"/>
      <c r="AS10" s="166"/>
      <c r="AT10" s="166"/>
      <c r="AU10" s="166"/>
      <c r="AV10" s="166"/>
      <c r="AW10" s="167"/>
      <c r="AX10" s="165"/>
      <c r="AY10" s="166"/>
      <c r="AZ10" s="166"/>
      <c r="BA10" s="166"/>
      <c r="BB10" s="166"/>
      <c r="BC10" s="167"/>
      <c r="BD10" s="165"/>
      <c r="BE10" s="166"/>
      <c r="BF10" s="166"/>
      <c r="BG10" s="166"/>
      <c r="BH10" s="166"/>
      <c r="BI10" s="167"/>
      <c r="BJ10" s="3">
        <v>9</v>
      </c>
    </row>
    <row r="11" spans="1:62" ht="100" customHeight="1" thickBot="1" x14ac:dyDescent="0.3">
      <c r="A11" s="3">
        <v>10</v>
      </c>
      <c r="B11" s="131" t="s">
        <v>9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3"/>
      <c r="AF11" s="162" t="s">
        <v>19</v>
      </c>
      <c r="AG11" s="163"/>
      <c r="AH11" s="163"/>
      <c r="AI11" s="163"/>
      <c r="AJ11" s="163"/>
      <c r="AK11" s="164"/>
      <c r="AL11" s="162" t="s">
        <v>20</v>
      </c>
      <c r="AM11" s="163"/>
      <c r="AN11" s="163"/>
      <c r="AO11" s="163"/>
      <c r="AP11" s="163"/>
      <c r="AQ11" s="164"/>
      <c r="AR11" s="162" t="s">
        <v>21</v>
      </c>
      <c r="AS11" s="163"/>
      <c r="AT11" s="163"/>
      <c r="AU11" s="163"/>
      <c r="AV11" s="163"/>
      <c r="AW11" s="164"/>
      <c r="AX11" s="162" t="s">
        <v>22</v>
      </c>
      <c r="AY11" s="163"/>
      <c r="AZ11" s="163"/>
      <c r="BA11" s="163"/>
      <c r="BB11" s="163"/>
      <c r="BC11" s="164"/>
      <c r="BD11" s="162" t="s">
        <v>23</v>
      </c>
      <c r="BE11" s="163"/>
      <c r="BF11" s="163"/>
      <c r="BG11" s="163"/>
      <c r="BH11" s="163"/>
      <c r="BI11" s="164"/>
      <c r="BJ11" s="3">
        <v>10</v>
      </c>
    </row>
    <row r="12" spans="1:62" ht="100" customHeight="1" thickBot="1" x14ac:dyDescent="0.3">
      <c r="A12" s="3">
        <v>11</v>
      </c>
      <c r="B12" s="131" t="s">
        <v>343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3"/>
      <c r="AF12" s="165"/>
      <c r="AG12" s="166"/>
      <c r="AH12" s="166"/>
      <c r="AI12" s="166"/>
      <c r="AJ12" s="166"/>
      <c r="AK12" s="167"/>
      <c r="AL12" s="165"/>
      <c r="AM12" s="166"/>
      <c r="AN12" s="166"/>
      <c r="AO12" s="166"/>
      <c r="AP12" s="166"/>
      <c r="AQ12" s="167"/>
      <c r="AR12" s="165"/>
      <c r="AS12" s="166"/>
      <c r="AT12" s="166"/>
      <c r="AU12" s="166"/>
      <c r="AV12" s="166"/>
      <c r="AW12" s="167"/>
      <c r="AX12" s="165"/>
      <c r="AY12" s="166"/>
      <c r="AZ12" s="166"/>
      <c r="BA12" s="166"/>
      <c r="BB12" s="166"/>
      <c r="BC12" s="167"/>
      <c r="BD12" s="165"/>
      <c r="BE12" s="166"/>
      <c r="BF12" s="166"/>
      <c r="BG12" s="166"/>
      <c r="BH12" s="166"/>
      <c r="BI12" s="167"/>
      <c r="BJ12" s="3">
        <v>11</v>
      </c>
    </row>
    <row r="13" spans="1:62" ht="100" customHeight="1" x14ac:dyDescent="0.25">
      <c r="A13" s="3">
        <v>12</v>
      </c>
      <c r="B13" s="162" t="s">
        <v>326</v>
      </c>
      <c r="C13" s="163"/>
      <c r="D13" s="163"/>
      <c r="E13" s="163"/>
      <c r="F13" s="163"/>
      <c r="G13" s="164"/>
      <c r="H13" s="162" t="s">
        <v>24</v>
      </c>
      <c r="I13" s="163"/>
      <c r="J13" s="163"/>
      <c r="K13" s="163"/>
      <c r="L13" s="163"/>
      <c r="M13" s="164"/>
      <c r="N13" s="162" t="s">
        <v>25</v>
      </c>
      <c r="O13" s="163"/>
      <c r="P13" s="163"/>
      <c r="Q13" s="163"/>
      <c r="R13" s="163"/>
      <c r="S13" s="164"/>
      <c r="T13" s="162" t="s">
        <v>26</v>
      </c>
      <c r="U13" s="163"/>
      <c r="V13" s="163"/>
      <c r="W13" s="163"/>
      <c r="X13" s="163"/>
      <c r="Y13" s="164"/>
      <c r="Z13" s="162" t="s">
        <v>27</v>
      </c>
      <c r="AA13" s="163"/>
      <c r="AB13" s="163"/>
      <c r="AC13" s="163"/>
      <c r="AD13" s="163"/>
      <c r="AE13" s="164"/>
      <c r="AF13" s="162" t="s">
        <v>327</v>
      </c>
      <c r="AG13" s="163"/>
      <c r="AH13" s="163"/>
      <c r="AI13" s="163"/>
      <c r="AJ13" s="163"/>
      <c r="AK13" s="164"/>
      <c r="AL13" s="162" t="s">
        <v>28</v>
      </c>
      <c r="AM13" s="163"/>
      <c r="AN13" s="163"/>
      <c r="AO13" s="163"/>
      <c r="AP13" s="163"/>
      <c r="AQ13" s="164"/>
      <c r="AR13" s="162" t="s">
        <v>29</v>
      </c>
      <c r="AS13" s="163"/>
      <c r="AT13" s="163"/>
      <c r="AU13" s="163"/>
      <c r="AV13" s="163"/>
      <c r="AW13" s="164"/>
      <c r="AX13" s="162" t="s">
        <v>30</v>
      </c>
      <c r="AY13" s="163"/>
      <c r="AZ13" s="163"/>
      <c r="BA13" s="163"/>
      <c r="BB13" s="163"/>
      <c r="BC13" s="164"/>
      <c r="BD13" s="162" t="s">
        <v>31</v>
      </c>
      <c r="BE13" s="163"/>
      <c r="BF13" s="163"/>
      <c r="BG13" s="163"/>
      <c r="BH13" s="163"/>
      <c r="BI13" s="164"/>
      <c r="BJ13" s="3">
        <v>12</v>
      </c>
    </row>
    <row r="14" spans="1:62" ht="100" customHeight="1" thickBot="1" x14ac:dyDescent="0.3">
      <c r="A14" s="3">
        <v>13</v>
      </c>
      <c r="B14" s="165"/>
      <c r="C14" s="166"/>
      <c r="D14" s="166"/>
      <c r="E14" s="166"/>
      <c r="F14" s="166"/>
      <c r="G14" s="167"/>
      <c r="H14" s="165"/>
      <c r="I14" s="166"/>
      <c r="J14" s="166"/>
      <c r="K14" s="166"/>
      <c r="L14" s="166"/>
      <c r="M14" s="167"/>
      <c r="N14" s="165"/>
      <c r="O14" s="166"/>
      <c r="P14" s="166"/>
      <c r="Q14" s="166"/>
      <c r="R14" s="166"/>
      <c r="S14" s="167"/>
      <c r="T14" s="165"/>
      <c r="U14" s="166"/>
      <c r="V14" s="166"/>
      <c r="W14" s="166"/>
      <c r="X14" s="166"/>
      <c r="Y14" s="167"/>
      <c r="Z14" s="165"/>
      <c r="AA14" s="166"/>
      <c r="AB14" s="166"/>
      <c r="AC14" s="166"/>
      <c r="AD14" s="166"/>
      <c r="AE14" s="167"/>
      <c r="AF14" s="165"/>
      <c r="AG14" s="166"/>
      <c r="AH14" s="166"/>
      <c r="AI14" s="166"/>
      <c r="AJ14" s="166"/>
      <c r="AK14" s="167"/>
      <c r="AL14" s="165"/>
      <c r="AM14" s="166"/>
      <c r="AN14" s="166"/>
      <c r="AO14" s="166"/>
      <c r="AP14" s="166"/>
      <c r="AQ14" s="167"/>
      <c r="AR14" s="165"/>
      <c r="AS14" s="166"/>
      <c r="AT14" s="166"/>
      <c r="AU14" s="166"/>
      <c r="AV14" s="166"/>
      <c r="AW14" s="167"/>
      <c r="AX14" s="165"/>
      <c r="AY14" s="166"/>
      <c r="AZ14" s="166"/>
      <c r="BA14" s="166"/>
      <c r="BB14" s="166"/>
      <c r="BC14" s="167"/>
      <c r="BD14" s="165"/>
      <c r="BE14" s="166"/>
      <c r="BF14" s="166"/>
      <c r="BG14" s="166"/>
      <c r="BH14" s="166"/>
      <c r="BI14" s="167"/>
      <c r="BJ14" s="3">
        <v>13</v>
      </c>
    </row>
    <row r="15" spans="1:62" ht="100" customHeight="1" x14ac:dyDescent="0.25">
      <c r="A15" s="3">
        <v>14</v>
      </c>
      <c r="B15" s="162" t="s">
        <v>328</v>
      </c>
      <c r="C15" s="163"/>
      <c r="D15" s="163"/>
      <c r="E15" s="163"/>
      <c r="F15" s="163"/>
      <c r="G15" s="164"/>
      <c r="H15" s="162" t="s">
        <v>32</v>
      </c>
      <c r="I15" s="163"/>
      <c r="J15" s="163"/>
      <c r="K15" s="163"/>
      <c r="L15" s="163"/>
      <c r="M15" s="164"/>
      <c r="N15" s="162" t="s">
        <v>33</v>
      </c>
      <c r="O15" s="163"/>
      <c r="P15" s="163"/>
      <c r="Q15" s="163"/>
      <c r="R15" s="163"/>
      <c r="S15" s="164"/>
      <c r="T15" s="162" t="s">
        <v>34</v>
      </c>
      <c r="U15" s="163"/>
      <c r="V15" s="163"/>
      <c r="W15" s="163"/>
      <c r="X15" s="163"/>
      <c r="Y15" s="164"/>
      <c r="Z15" s="162" t="s">
        <v>35</v>
      </c>
      <c r="AA15" s="163"/>
      <c r="AB15" s="163"/>
      <c r="AC15" s="163"/>
      <c r="AD15" s="163"/>
      <c r="AE15" s="164"/>
      <c r="AF15" s="162" t="s">
        <v>36</v>
      </c>
      <c r="AG15" s="163"/>
      <c r="AH15" s="163"/>
      <c r="AI15" s="163"/>
      <c r="AJ15" s="163"/>
      <c r="AK15" s="164"/>
      <c r="AL15" s="162" t="s">
        <v>37</v>
      </c>
      <c r="AM15" s="163"/>
      <c r="AN15" s="163"/>
      <c r="AO15" s="163"/>
      <c r="AP15" s="163"/>
      <c r="AQ15" s="164"/>
      <c r="AR15" s="162" t="s">
        <v>38</v>
      </c>
      <c r="AS15" s="163"/>
      <c r="AT15" s="163"/>
      <c r="AU15" s="163"/>
      <c r="AV15" s="163"/>
      <c r="AW15" s="164"/>
      <c r="AX15" s="162" t="s">
        <v>39</v>
      </c>
      <c r="AY15" s="163"/>
      <c r="AZ15" s="163"/>
      <c r="BA15" s="163"/>
      <c r="BB15" s="163"/>
      <c r="BC15" s="164"/>
      <c r="BD15" s="162" t="s">
        <v>40</v>
      </c>
      <c r="BE15" s="163"/>
      <c r="BF15" s="163"/>
      <c r="BG15" s="163"/>
      <c r="BH15" s="163"/>
      <c r="BI15" s="164"/>
      <c r="BJ15" s="3">
        <v>14</v>
      </c>
    </row>
    <row r="16" spans="1:62" ht="100" customHeight="1" thickBot="1" x14ac:dyDescent="0.3">
      <c r="A16" s="3">
        <v>15</v>
      </c>
      <c r="B16" s="165"/>
      <c r="C16" s="166"/>
      <c r="D16" s="166"/>
      <c r="E16" s="166"/>
      <c r="F16" s="166"/>
      <c r="G16" s="167"/>
      <c r="H16" s="165"/>
      <c r="I16" s="166"/>
      <c r="J16" s="166"/>
      <c r="K16" s="166"/>
      <c r="L16" s="166"/>
      <c r="M16" s="167"/>
      <c r="N16" s="165"/>
      <c r="O16" s="166"/>
      <c r="P16" s="166"/>
      <c r="Q16" s="166"/>
      <c r="R16" s="166"/>
      <c r="S16" s="167"/>
      <c r="T16" s="165"/>
      <c r="U16" s="166"/>
      <c r="V16" s="166"/>
      <c r="W16" s="166"/>
      <c r="X16" s="166"/>
      <c r="Y16" s="167"/>
      <c r="Z16" s="165"/>
      <c r="AA16" s="166"/>
      <c r="AB16" s="166"/>
      <c r="AC16" s="166"/>
      <c r="AD16" s="166"/>
      <c r="AE16" s="167"/>
      <c r="AF16" s="165"/>
      <c r="AG16" s="166"/>
      <c r="AH16" s="166"/>
      <c r="AI16" s="166"/>
      <c r="AJ16" s="166"/>
      <c r="AK16" s="167"/>
      <c r="AL16" s="165"/>
      <c r="AM16" s="166"/>
      <c r="AN16" s="166"/>
      <c r="AO16" s="166"/>
      <c r="AP16" s="166"/>
      <c r="AQ16" s="167"/>
      <c r="AR16" s="165"/>
      <c r="AS16" s="166"/>
      <c r="AT16" s="166"/>
      <c r="AU16" s="166"/>
      <c r="AV16" s="166"/>
      <c r="AW16" s="167"/>
      <c r="AX16" s="165"/>
      <c r="AY16" s="166"/>
      <c r="AZ16" s="166"/>
      <c r="BA16" s="166"/>
      <c r="BB16" s="166"/>
      <c r="BC16" s="167"/>
      <c r="BD16" s="165"/>
      <c r="BE16" s="166"/>
      <c r="BF16" s="166"/>
      <c r="BG16" s="166"/>
      <c r="BH16" s="166"/>
      <c r="BI16" s="167"/>
      <c r="BJ16" s="3">
        <v>15</v>
      </c>
    </row>
    <row r="17" spans="1:62" ht="100" customHeight="1" x14ac:dyDescent="0.25">
      <c r="A17" s="3">
        <v>16</v>
      </c>
      <c r="B17" s="137" t="s">
        <v>216</v>
      </c>
      <c r="C17" s="138"/>
      <c r="D17" s="137" t="s">
        <v>349</v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7" t="s">
        <v>344</v>
      </c>
      <c r="W17" s="138"/>
      <c r="X17" s="137" t="s">
        <v>349</v>
      </c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47" t="s">
        <v>155</v>
      </c>
      <c r="AQ17" s="147"/>
      <c r="AR17" s="110" t="s">
        <v>156</v>
      </c>
      <c r="AS17" s="110" t="s">
        <v>157</v>
      </c>
      <c r="AT17" s="110">
        <v>1</v>
      </c>
      <c r="AU17" s="110">
        <v>2</v>
      </c>
      <c r="AV17" s="110">
        <v>3</v>
      </c>
      <c r="AW17" s="110">
        <v>4</v>
      </c>
      <c r="AX17" s="110">
        <v>5</v>
      </c>
      <c r="AY17" s="110">
        <v>6</v>
      </c>
      <c r="AZ17" s="110">
        <v>7</v>
      </c>
      <c r="BA17" s="110">
        <v>8</v>
      </c>
      <c r="BB17" s="110">
        <v>9</v>
      </c>
      <c r="BC17" s="110">
        <v>10</v>
      </c>
      <c r="BD17" s="110">
        <v>11</v>
      </c>
      <c r="BE17" s="110">
        <v>12</v>
      </c>
      <c r="BF17" s="110" t="s">
        <v>156</v>
      </c>
      <c r="BG17" s="110" t="s">
        <v>157</v>
      </c>
      <c r="BH17" s="134" t="s">
        <v>41</v>
      </c>
      <c r="BI17" s="135"/>
      <c r="BJ17" s="3">
        <v>16</v>
      </c>
    </row>
    <row r="18" spans="1:62" ht="100" customHeight="1" thickBot="1" x14ac:dyDescent="0.3">
      <c r="A18" s="3">
        <v>17</v>
      </c>
      <c r="B18" s="139"/>
      <c r="C18" s="140"/>
      <c r="D18" s="139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39"/>
      <c r="W18" s="140"/>
      <c r="X18" s="139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8"/>
      <c r="AQ18" s="148"/>
      <c r="AR18" s="111"/>
      <c r="AS18" s="112"/>
      <c r="AT18" s="113" t="s">
        <v>158</v>
      </c>
      <c r="AU18" s="112"/>
      <c r="AV18" s="113" t="s">
        <v>159</v>
      </c>
      <c r="AW18" s="112"/>
      <c r="AX18" s="113" t="s">
        <v>160</v>
      </c>
      <c r="AY18" s="112"/>
      <c r="AZ18" s="113" t="s">
        <v>161</v>
      </c>
      <c r="BA18" s="112"/>
      <c r="BB18" s="113" t="s">
        <v>162</v>
      </c>
      <c r="BC18" s="112"/>
      <c r="BD18" s="113" t="s">
        <v>163</v>
      </c>
      <c r="BE18" s="112"/>
      <c r="BF18" s="111"/>
      <c r="BG18" s="112"/>
      <c r="BH18" s="136"/>
      <c r="BI18" s="130"/>
      <c r="BJ18" s="3">
        <v>17</v>
      </c>
    </row>
    <row r="19" spans="1:62" ht="100" customHeight="1" x14ac:dyDescent="0.25">
      <c r="B19" s="3">
        <v>1</v>
      </c>
      <c r="C19" s="3">
        <v>2</v>
      </c>
      <c r="D19" s="3">
        <v>3</v>
      </c>
      <c r="E19" s="3">
        <v>4</v>
      </c>
      <c r="F19" s="3">
        <v>5</v>
      </c>
      <c r="G19" s="3">
        <v>6</v>
      </c>
      <c r="H19" s="3">
        <v>7</v>
      </c>
      <c r="I19" s="3">
        <v>8</v>
      </c>
      <c r="J19" s="3">
        <v>9</v>
      </c>
      <c r="K19" s="3">
        <v>10</v>
      </c>
      <c r="L19" s="3">
        <v>11</v>
      </c>
      <c r="M19" s="3">
        <v>12</v>
      </c>
      <c r="N19" s="3">
        <v>13</v>
      </c>
      <c r="O19" s="3">
        <v>14</v>
      </c>
      <c r="P19" s="3">
        <v>15</v>
      </c>
      <c r="Q19" s="3">
        <v>16</v>
      </c>
      <c r="R19" s="3">
        <v>17</v>
      </c>
      <c r="S19" s="3">
        <v>18</v>
      </c>
      <c r="T19" s="3">
        <v>19</v>
      </c>
      <c r="U19" s="3">
        <v>20</v>
      </c>
      <c r="V19" s="3">
        <v>21</v>
      </c>
      <c r="W19" s="3">
        <v>22</v>
      </c>
      <c r="X19" s="3">
        <v>23</v>
      </c>
      <c r="Y19" s="3">
        <v>24</v>
      </c>
      <c r="Z19" s="3">
        <v>25</v>
      </c>
      <c r="AA19" s="3">
        <v>26</v>
      </c>
      <c r="AB19" s="3">
        <v>27</v>
      </c>
      <c r="AC19" s="3">
        <v>28</v>
      </c>
      <c r="AD19" s="3">
        <v>29</v>
      </c>
      <c r="AE19" s="3">
        <v>30</v>
      </c>
      <c r="AF19" s="3">
        <v>31</v>
      </c>
      <c r="AG19" s="3">
        <v>32</v>
      </c>
      <c r="AH19" s="3">
        <v>33</v>
      </c>
      <c r="AI19" s="3">
        <v>34</v>
      </c>
      <c r="AJ19" s="3">
        <v>35</v>
      </c>
      <c r="AK19" s="3">
        <v>36</v>
      </c>
      <c r="AL19" s="3">
        <v>37</v>
      </c>
      <c r="AM19" s="3">
        <v>38</v>
      </c>
      <c r="AN19" s="3">
        <v>39</v>
      </c>
      <c r="AO19" s="3">
        <v>40</v>
      </c>
      <c r="AP19" s="3">
        <v>41</v>
      </c>
      <c r="AQ19" s="3">
        <v>42</v>
      </c>
      <c r="AR19" s="3">
        <v>43</v>
      </c>
      <c r="AS19" s="3">
        <v>44</v>
      </c>
      <c r="AT19" s="3">
        <v>45</v>
      </c>
      <c r="AU19" s="3">
        <v>46</v>
      </c>
      <c r="AV19" s="3">
        <v>47</v>
      </c>
      <c r="AW19" s="3">
        <v>48</v>
      </c>
      <c r="AX19" s="3">
        <v>49</v>
      </c>
      <c r="AY19" s="3">
        <v>50</v>
      </c>
      <c r="AZ19" s="3">
        <v>51</v>
      </c>
      <c r="BA19" s="3">
        <v>52</v>
      </c>
      <c r="BB19" s="3">
        <v>53</v>
      </c>
      <c r="BC19" s="3">
        <v>54</v>
      </c>
      <c r="BD19" s="3">
        <v>55</v>
      </c>
      <c r="BE19" s="3">
        <v>56</v>
      </c>
      <c r="BF19" s="3">
        <v>57</v>
      </c>
      <c r="BG19" s="3">
        <v>58</v>
      </c>
      <c r="BH19" s="3">
        <v>59</v>
      </c>
      <c r="BI19" s="3">
        <v>60</v>
      </c>
    </row>
  </sheetData>
  <mergeCells count="103">
    <mergeCell ref="V17:W18"/>
    <mergeCell ref="X17:AO18"/>
    <mergeCell ref="AR13:AW14"/>
    <mergeCell ref="AX13:BC14"/>
    <mergeCell ref="BD13:BI14"/>
    <mergeCell ref="B15:G16"/>
    <mergeCell ref="H15:M16"/>
    <mergeCell ref="N15:S16"/>
    <mergeCell ref="T15:Y16"/>
    <mergeCell ref="Z15:AE16"/>
    <mergeCell ref="AF15:AK16"/>
    <mergeCell ref="AL15:AQ16"/>
    <mergeCell ref="AR15:AW16"/>
    <mergeCell ref="AX15:BC16"/>
    <mergeCell ref="BD15:BI16"/>
    <mergeCell ref="B13:G14"/>
    <mergeCell ref="H13:M14"/>
    <mergeCell ref="N13:S14"/>
    <mergeCell ref="T13:Y14"/>
    <mergeCell ref="Z13:AE14"/>
    <mergeCell ref="AF13:AK14"/>
    <mergeCell ref="AL13:AQ14"/>
    <mergeCell ref="AP4:AS5"/>
    <mergeCell ref="AT4:AW5"/>
    <mergeCell ref="AX4:BA5"/>
    <mergeCell ref="BB4:BE5"/>
    <mergeCell ref="BF4:BI5"/>
    <mergeCell ref="B4:E4"/>
    <mergeCell ref="B5:E5"/>
    <mergeCell ref="F4:I5"/>
    <mergeCell ref="J4:M5"/>
    <mergeCell ref="N4:Q5"/>
    <mergeCell ref="R4:U5"/>
    <mergeCell ref="V4:Y5"/>
    <mergeCell ref="Z4:AC5"/>
    <mergeCell ref="AD4:AG5"/>
    <mergeCell ref="AH4:AK5"/>
    <mergeCell ref="AL4:AO4"/>
    <mergeCell ref="AL5:AO5"/>
    <mergeCell ref="AL9:AQ10"/>
    <mergeCell ref="AR9:AW10"/>
    <mergeCell ref="AX9:BC10"/>
    <mergeCell ref="BD9:BI10"/>
    <mergeCell ref="AF11:AK12"/>
    <mergeCell ref="AL11:AQ12"/>
    <mergeCell ref="AR11:AW12"/>
    <mergeCell ref="AX11:BC12"/>
    <mergeCell ref="BD11:BI12"/>
    <mergeCell ref="B6:C7"/>
    <mergeCell ref="D6:G6"/>
    <mergeCell ref="D7:G7"/>
    <mergeCell ref="H6:M7"/>
    <mergeCell ref="N6:S7"/>
    <mergeCell ref="T6:Y7"/>
    <mergeCell ref="Z6:AE7"/>
    <mergeCell ref="L9:O9"/>
    <mergeCell ref="P9:S9"/>
    <mergeCell ref="T9:W9"/>
    <mergeCell ref="X9:AA9"/>
    <mergeCell ref="AB9:AE9"/>
    <mergeCell ref="B11:AE11"/>
    <mergeCell ref="B10:AE10"/>
    <mergeCell ref="B12:AE12"/>
    <mergeCell ref="BH17:BI18"/>
    <mergeCell ref="BI2:BI3"/>
    <mergeCell ref="D17:U18"/>
    <mergeCell ref="AL6:AM7"/>
    <mergeCell ref="B17:C18"/>
    <mergeCell ref="BF2:BF3"/>
    <mergeCell ref="P2:Q3"/>
    <mergeCell ref="R2:S3"/>
    <mergeCell ref="T2:U3"/>
    <mergeCell ref="V2:W3"/>
    <mergeCell ref="X2:Y3"/>
    <mergeCell ref="Z2:AA3"/>
    <mergeCell ref="BB2:BC3"/>
    <mergeCell ref="AH6:AI7"/>
    <mergeCell ref="AJ6:AK7"/>
    <mergeCell ref="AZ2:BA3"/>
    <mergeCell ref="BD2:BD3"/>
    <mergeCell ref="AF6:AG7"/>
    <mergeCell ref="AP17:AQ18"/>
    <mergeCell ref="N2:O3"/>
    <mergeCell ref="BG2:BG3"/>
    <mergeCell ref="BH2:BH3"/>
    <mergeCell ref="AN2:AO3"/>
    <mergeCell ref="AP2:AQ3"/>
    <mergeCell ref="BE2:BE3"/>
    <mergeCell ref="B2:C3"/>
    <mergeCell ref="F2:G3"/>
    <mergeCell ref="H2:I3"/>
    <mergeCell ref="J2:K3"/>
    <mergeCell ref="L2:M3"/>
    <mergeCell ref="AR2:AS3"/>
    <mergeCell ref="AT2:AU3"/>
    <mergeCell ref="AV2:AW3"/>
    <mergeCell ref="AX2:AY3"/>
    <mergeCell ref="AB2:AC3"/>
    <mergeCell ref="AD2:AE3"/>
    <mergeCell ref="AF2:AG3"/>
    <mergeCell ref="AH2:AI3"/>
    <mergeCell ref="AJ2:AK3"/>
    <mergeCell ref="AL2:AM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00C7-9015-4446-8647-BA14F62BCAB7}">
  <dimension ref="A1:C31"/>
  <sheetViews>
    <sheetView workbookViewId="0">
      <selection activeCell="C31" sqref="A1:C31"/>
    </sheetView>
  </sheetViews>
  <sheetFormatPr defaultRowHeight="14" x14ac:dyDescent="0.25"/>
  <sheetData>
    <row r="1" spans="1:3" x14ac:dyDescent="0.25">
      <c r="B1" s="115" t="s">
        <v>379</v>
      </c>
      <c r="C1" s="115" t="s">
        <v>380</v>
      </c>
    </row>
    <row r="2" spans="1:3" x14ac:dyDescent="0.25">
      <c r="A2" s="115" t="s">
        <v>375</v>
      </c>
      <c r="B2">
        <v>31</v>
      </c>
      <c r="C2">
        <v>8</v>
      </c>
    </row>
    <row r="3" spans="1:3" x14ac:dyDescent="0.25">
      <c r="A3" s="115" t="s">
        <v>376</v>
      </c>
      <c r="B3">
        <v>37</v>
      </c>
      <c r="C3">
        <v>8</v>
      </c>
    </row>
    <row r="4" spans="1:3" x14ac:dyDescent="0.25">
      <c r="A4" s="115" t="s">
        <v>16</v>
      </c>
      <c r="B4">
        <v>43</v>
      </c>
      <c r="C4">
        <v>8</v>
      </c>
    </row>
    <row r="5" spans="1:3" x14ac:dyDescent="0.25">
      <c r="A5" s="115" t="s">
        <v>17</v>
      </c>
      <c r="B5">
        <v>49</v>
      </c>
      <c r="C5">
        <v>8</v>
      </c>
    </row>
    <row r="6" spans="1:3" x14ac:dyDescent="0.25">
      <c r="A6" s="115" t="s">
        <v>18</v>
      </c>
      <c r="B6">
        <v>55</v>
      </c>
      <c r="C6">
        <v>8</v>
      </c>
    </row>
    <row r="7" spans="1:3" x14ac:dyDescent="0.25">
      <c r="A7" s="115" t="s">
        <v>19</v>
      </c>
      <c r="B7">
        <v>31</v>
      </c>
      <c r="C7">
        <v>10</v>
      </c>
    </row>
    <row r="8" spans="1:3" x14ac:dyDescent="0.25">
      <c r="A8" s="115" t="s">
        <v>20</v>
      </c>
      <c r="B8">
        <v>37</v>
      </c>
      <c r="C8">
        <v>10</v>
      </c>
    </row>
    <row r="9" spans="1:3" x14ac:dyDescent="0.25">
      <c r="A9" s="115" t="s">
        <v>21</v>
      </c>
      <c r="B9">
        <v>43</v>
      </c>
      <c r="C9">
        <v>10</v>
      </c>
    </row>
    <row r="10" spans="1:3" x14ac:dyDescent="0.25">
      <c r="A10" s="115" t="s">
        <v>22</v>
      </c>
      <c r="B10">
        <v>49</v>
      </c>
      <c r="C10">
        <v>10</v>
      </c>
    </row>
    <row r="11" spans="1:3" x14ac:dyDescent="0.25">
      <c r="A11" s="115" t="s">
        <v>23</v>
      </c>
      <c r="B11">
        <v>55</v>
      </c>
      <c r="C11">
        <v>10</v>
      </c>
    </row>
    <row r="12" spans="1:3" x14ac:dyDescent="0.25">
      <c r="A12" s="115" t="s">
        <v>377</v>
      </c>
      <c r="B12">
        <v>1</v>
      </c>
      <c r="C12">
        <v>12</v>
      </c>
    </row>
    <row r="13" spans="1:3" x14ac:dyDescent="0.25">
      <c r="A13" s="115" t="s">
        <v>24</v>
      </c>
      <c r="B13">
        <v>7</v>
      </c>
      <c r="C13">
        <v>12</v>
      </c>
    </row>
    <row r="14" spans="1:3" x14ac:dyDescent="0.25">
      <c r="A14" s="115" t="s">
        <v>25</v>
      </c>
      <c r="B14">
        <v>13</v>
      </c>
      <c r="C14">
        <v>12</v>
      </c>
    </row>
    <row r="15" spans="1:3" x14ac:dyDescent="0.25">
      <c r="A15" s="115" t="s">
        <v>26</v>
      </c>
      <c r="B15">
        <v>19</v>
      </c>
      <c r="C15">
        <v>12</v>
      </c>
    </row>
    <row r="16" spans="1:3" x14ac:dyDescent="0.25">
      <c r="A16" s="115" t="s">
        <v>27</v>
      </c>
      <c r="B16">
        <v>25</v>
      </c>
      <c r="C16">
        <v>12</v>
      </c>
    </row>
    <row r="17" spans="1:3" x14ac:dyDescent="0.25">
      <c r="A17" s="115" t="s">
        <v>327</v>
      </c>
      <c r="B17">
        <v>31</v>
      </c>
      <c r="C17">
        <v>12</v>
      </c>
    </row>
    <row r="18" spans="1:3" x14ac:dyDescent="0.25">
      <c r="A18" s="115" t="s">
        <v>28</v>
      </c>
      <c r="B18">
        <v>37</v>
      </c>
      <c r="C18">
        <v>12</v>
      </c>
    </row>
    <row r="19" spans="1:3" x14ac:dyDescent="0.25">
      <c r="A19" s="115" t="s">
        <v>29</v>
      </c>
      <c r="B19">
        <v>43</v>
      </c>
      <c r="C19">
        <v>12</v>
      </c>
    </row>
    <row r="20" spans="1:3" x14ac:dyDescent="0.25">
      <c r="A20" s="115" t="s">
        <v>30</v>
      </c>
      <c r="B20">
        <v>49</v>
      </c>
      <c r="C20">
        <v>12</v>
      </c>
    </row>
    <row r="21" spans="1:3" x14ac:dyDescent="0.25">
      <c r="A21" s="115" t="s">
        <v>31</v>
      </c>
      <c r="B21">
        <v>55</v>
      </c>
      <c r="C21">
        <v>12</v>
      </c>
    </row>
    <row r="22" spans="1:3" x14ac:dyDescent="0.25">
      <c r="A22" s="115" t="s">
        <v>378</v>
      </c>
      <c r="B22">
        <v>1</v>
      </c>
      <c r="C22">
        <v>14</v>
      </c>
    </row>
    <row r="23" spans="1:3" x14ac:dyDescent="0.25">
      <c r="A23" s="115" t="s">
        <v>32</v>
      </c>
      <c r="B23">
        <v>7</v>
      </c>
      <c r="C23">
        <v>14</v>
      </c>
    </row>
    <row r="24" spans="1:3" x14ac:dyDescent="0.25">
      <c r="A24" s="115" t="s">
        <v>33</v>
      </c>
      <c r="B24">
        <v>13</v>
      </c>
      <c r="C24">
        <v>14</v>
      </c>
    </row>
    <row r="25" spans="1:3" x14ac:dyDescent="0.25">
      <c r="A25" s="115" t="s">
        <v>34</v>
      </c>
      <c r="B25">
        <v>19</v>
      </c>
      <c r="C25">
        <v>14</v>
      </c>
    </row>
    <row r="26" spans="1:3" x14ac:dyDescent="0.25">
      <c r="A26" s="115" t="s">
        <v>35</v>
      </c>
      <c r="B26">
        <v>25</v>
      </c>
      <c r="C26">
        <v>14</v>
      </c>
    </row>
    <row r="27" spans="1:3" x14ac:dyDescent="0.25">
      <c r="A27" s="115" t="s">
        <v>36</v>
      </c>
      <c r="B27">
        <v>31</v>
      </c>
      <c r="C27">
        <v>14</v>
      </c>
    </row>
    <row r="28" spans="1:3" x14ac:dyDescent="0.25">
      <c r="A28" s="115" t="s">
        <v>37</v>
      </c>
      <c r="B28">
        <v>37</v>
      </c>
      <c r="C28">
        <v>14</v>
      </c>
    </row>
    <row r="29" spans="1:3" x14ac:dyDescent="0.25">
      <c r="A29" s="115" t="s">
        <v>38</v>
      </c>
      <c r="B29">
        <v>43</v>
      </c>
      <c r="C29">
        <v>14</v>
      </c>
    </row>
    <row r="30" spans="1:3" x14ac:dyDescent="0.25">
      <c r="A30" s="115" t="s">
        <v>39</v>
      </c>
      <c r="B30">
        <v>49</v>
      </c>
      <c r="C30">
        <v>14</v>
      </c>
    </row>
    <row r="31" spans="1:3" x14ac:dyDescent="0.25">
      <c r="A31" s="115" t="s">
        <v>40</v>
      </c>
      <c r="B31">
        <v>55</v>
      </c>
      <c r="C31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A9A9-CE80-41C1-89C8-9A0314358C23}">
  <dimension ref="A1:F16"/>
  <sheetViews>
    <sheetView zoomScale="144" zoomScaleNormal="144" workbookViewId="0">
      <selection activeCell="D29" sqref="D29"/>
    </sheetView>
  </sheetViews>
  <sheetFormatPr defaultRowHeight="14" x14ac:dyDescent="0.25"/>
  <cols>
    <col min="1" max="1" width="31.08984375" customWidth="1"/>
    <col min="3" max="3" width="18.08984375" customWidth="1"/>
    <col min="4" max="4" width="19.81640625" customWidth="1"/>
    <col min="5" max="5" width="29.453125" customWidth="1"/>
    <col min="6" max="6" width="37.453125" customWidth="1"/>
  </cols>
  <sheetData>
    <row r="1" spans="1:6" x14ac:dyDescent="0.25">
      <c r="A1" t="str">
        <f>"文件名"</f>
        <v>文件名</v>
      </c>
      <c r="B1" t="str">
        <f>"新坐标X"</f>
        <v>新坐标X</v>
      </c>
      <c r="C1" t="str">
        <f>"新坐标Y"</f>
        <v>新坐标Y</v>
      </c>
      <c r="D1" t="str">
        <f>"CELL_CLASSIFICATION"</f>
        <v>CELL_CLASSIFICATION</v>
      </c>
      <c r="E1" t="str">
        <f>"INDEX"</f>
        <v>INDEX</v>
      </c>
      <c r="F1" t="str">
        <f>"描述"</f>
        <v>描述</v>
      </c>
    </row>
    <row r="2" spans="1:6" x14ac:dyDescent="0.25">
      <c r="A2" s="115" t="str">
        <f>"070*_party_*.lua"</f>
        <v>070*_party_*.lua</v>
      </c>
      <c r="B2">
        <v>1</v>
      </c>
      <c r="C2" t="str">
        <f>"8-11"</f>
        <v>8-11</v>
      </c>
      <c r="D2" t="str">
        <f>"PARTY_EXIST"</f>
        <v>PARTY_EXIST</v>
      </c>
      <c r="E2" s="123" t="str">
        <f>"1-4"</f>
        <v>1-4</v>
      </c>
      <c r="F2" s="115" t="s">
        <v>316</v>
      </c>
    </row>
    <row r="3" spans="1:6" x14ac:dyDescent="0.25">
      <c r="A3" s="115" t="str">
        <f t="shared" ref="A3:A16" si="0">"070*_party_*.lua"</f>
        <v>070*_party_*.lua</v>
      </c>
      <c r="B3">
        <v>2</v>
      </c>
      <c r="C3" t="str">
        <f t="shared" ref="C3:C16" si="1">"8-11"</f>
        <v>8-11</v>
      </c>
      <c r="D3" t="str">
        <f>"PARTY_*"</f>
        <v>PARTY_*</v>
      </c>
      <c r="E3" s="123" t="str">
        <f t="shared" ref="E3:E16" si="2">"1-4"</f>
        <v>1-4</v>
      </c>
      <c r="F3" s="115" t="s">
        <v>364</v>
      </c>
    </row>
    <row r="4" spans="1:6" x14ac:dyDescent="0.25">
      <c r="A4" s="115" t="str">
        <f t="shared" si="0"/>
        <v>070*_party_*.lua</v>
      </c>
      <c r="B4">
        <v>3</v>
      </c>
      <c r="C4" t="str">
        <f t="shared" si="1"/>
        <v>8-11</v>
      </c>
      <c r="D4" t="str">
        <f t="shared" ref="D4:D11" si="3">"PARTY_*"</f>
        <v>PARTY_*</v>
      </c>
      <c r="E4" s="123" t="str">
        <f t="shared" si="2"/>
        <v>1-4</v>
      </c>
      <c r="F4" s="115" t="s">
        <v>222</v>
      </c>
    </row>
    <row r="5" spans="1:6" x14ac:dyDescent="0.25">
      <c r="A5" s="115" t="str">
        <f t="shared" si="0"/>
        <v>070*_party_*.lua</v>
      </c>
      <c r="B5">
        <v>4</v>
      </c>
      <c r="C5" t="str">
        <f t="shared" si="1"/>
        <v>8-11</v>
      </c>
      <c r="D5" t="str">
        <f t="shared" si="3"/>
        <v>PARTY_*</v>
      </c>
      <c r="E5" s="123" t="str">
        <f t="shared" si="2"/>
        <v>1-4</v>
      </c>
      <c r="F5" s="115" t="s">
        <v>320</v>
      </c>
    </row>
    <row r="6" spans="1:6" x14ac:dyDescent="0.25">
      <c r="A6" s="115" t="str">
        <f t="shared" si="0"/>
        <v>070*_party_*.lua</v>
      </c>
      <c r="B6">
        <v>5</v>
      </c>
      <c r="C6" t="str">
        <f t="shared" si="1"/>
        <v>8-11</v>
      </c>
      <c r="D6" t="str">
        <f t="shared" si="3"/>
        <v>PARTY_*</v>
      </c>
      <c r="E6" s="123" t="str">
        <f t="shared" si="2"/>
        <v>1-4</v>
      </c>
      <c r="F6" t="str">
        <f>"血量百分比"</f>
        <v>血量百分比</v>
      </c>
    </row>
    <row r="7" spans="1:6" x14ac:dyDescent="0.25">
      <c r="A7" s="115" t="str">
        <f t="shared" si="0"/>
        <v>070*_party_*.lua</v>
      </c>
      <c r="B7">
        <v>6</v>
      </c>
      <c r="C7" t="str">
        <f t="shared" si="1"/>
        <v>8-11</v>
      </c>
      <c r="D7" t="str">
        <f t="shared" si="3"/>
        <v>PARTY_*</v>
      </c>
      <c r="E7" s="123" t="str">
        <f t="shared" si="2"/>
        <v>1-4</v>
      </c>
      <c r="F7" t="str">
        <f>"伤害吸收量≤10000时B=0，≥10001时B=1"</f>
        <v>伤害吸收量≤10000时B=0，≥10001时B=1</v>
      </c>
    </row>
    <row r="8" spans="1:6" x14ac:dyDescent="0.25">
      <c r="A8" s="115" t="str">
        <f t="shared" si="0"/>
        <v>070*_party_*.lua</v>
      </c>
      <c r="B8">
        <v>7</v>
      </c>
      <c r="C8" t="str">
        <f t="shared" si="1"/>
        <v>8-11</v>
      </c>
      <c r="D8" t="str">
        <f t="shared" si="3"/>
        <v>PARTY_*</v>
      </c>
      <c r="E8" s="123" t="str">
        <f t="shared" si="2"/>
        <v>1-4</v>
      </c>
      <c r="F8" t="str">
        <f>"治疗吸收量≤10000时B=0，≥10001时B=1"</f>
        <v>治疗吸收量≤10000时B=0，≥10001时B=1</v>
      </c>
    </row>
    <row r="9" spans="1:6" x14ac:dyDescent="0.25">
      <c r="A9" s="115" t="str">
        <f t="shared" si="0"/>
        <v>070*_party_*.lua</v>
      </c>
      <c r="B9">
        <v>8</v>
      </c>
      <c r="C9" t="str">
        <f t="shared" si="1"/>
        <v>8-11</v>
      </c>
      <c r="D9" t="str">
        <f t="shared" si="3"/>
        <v>PARTY_*</v>
      </c>
      <c r="E9" s="123" t="str">
        <f t="shared" si="2"/>
        <v>1-4</v>
      </c>
      <c r="F9" s="115" t="s">
        <v>365</v>
      </c>
    </row>
    <row r="10" spans="1:6" x14ac:dyDescent="0.25">
      <c r="A10" s="115" t="str">
        <f t="shared" si="0"/>
        <v>070*_party_*.lua</v>
      </c>
      <c r="B10">
        <v>9</v>
      </c>
      <c r="C10" t="str">
        <f t="shared" si="1"/>
        <v>8-11</v>
      </c>
      <c r="D10" t="str">
        <f t="shared" si="3"/>
        <v>PARTY_*</v>
      </c>
      <c r="E10" s="123" t="str">
        <f t="shared" si="2"/>
        <v>1-4</v>
      </c>
      <c r="F10" s="115" t="s">
        <v>366</v>
      </c>
    </row>
    <row r="11" spans="1:6" x14ac:dyDescent="0.25">
      <c r="A11" s="115" t="str">
        <f t="shared" si="0"/>
        <v>070*_party_*.lua</v>
      </c>
      <c r="B11">
        <v>10</v>
      </c>
      <c r="C11" t="str">
        <f t="shared" si="1"/>
        <v>8-11</v>
      </c>
      <c r="D11" t="str">
        <f t="shared" si="3"/>
        <v>PARTY_*</v>
      </c>
      <c r="E11" s="123" t="str">
        <f t="shared" si="2"/>
        <v>1-4</v>
      </c>
      <c r="F11" s="115" t="s">
        <v>367</v>
      </c>
    </row>
    <row r="12" spans="1:6" x14ac:dyDescent="0.25">
      <c r="A12" s="115" t="str">
        <f t="shared" si="0"/>
        <v>070*_party_*.lua</v>
      </c>
      <c r="B12" t="str">
        <f>"11-14"</f>
        <v>11-14</v>
      </c>
      <c r="C12" t="str">
        <f t="shared" si="1"/>
        <v>8-11</v>
      </c>
      <c r="D12" t="str">
        <f>"PARTY_HOT1"</f>
        <v>PARTY_HOT1</v>
      </c>
      <c r="E12" s="123" t="str">
        <f t="shared" si="2"/>
        <v>1-4</v>
      </c>
      <c r="F12" s="115" t="s">
        <v>368</v>
      </c>
    </row>
    <row r="13" spans="1:6" x14ac:dyDescent="0.25">
      <c r="A13" s="115" t="str">
        <f t="shared" si="0"/>
        <v>070*_party_*.lua</v>
      </c>
      <c r="B13" t="str">
        <f>"15-18"</f>
        <v>15-18</v>
      </c>
      <c r="C13" t="str">
        <f t="shared" si="1"/>
        <v>8-11</v>
      </c>
      <c r="D13" t="str">
        <f>"PARTY_HOT2"</f>
        <v>PARTY_HOT2</v>
      </c>
      <c r="E13" s="123" t="str">
        <f t="shared" si="2"/>
        <v>1-4</v>
      </c>
      <c r="F13" s="115" t="s">
        <v>369</v>
      </c>
    </row>
    <row r="14" spans="1:6" x14ac:dyDescent="0.25">
      <c r="A14" s="115" t="str">
        <f t="shared" si="0"/>
        <v>070*_party_*.lua</v>
      </c>
      <c r="B14" t="str">
        <f>"19-22"</f>
        <v>19-22</v>
      </c>
      <c r="C14" t="str">
        <f t="shared" si="1"/>
        <v>8-11</v>
      </c>
      <c r="D14" t="str">
        <f>"PARTY_HOT3"</f>
        <v>PARTY_HOT3</v>
      </c>
      <c r="E14" s="123" t="str">
        <f t="shared" si="2"/>
        <v>1-4</v>
      </c>
      <c r="F14" s="115" t="s">
        <v>370</v>
      </c>
    </row>
    <row r="15" spans="1:6" x14ac:dyDescent="0.25">
      <c r="A15" s="115" t="str">
        <f t="shared" si="0"/>
        <v>070*_party_*.lua</v>
      </c>
      <c r="B15" t="str">
        <f>"23-26"</f>
        <v>23-26</v>
      </c>
      <c r="C15" t="str">
        <f t="shared" si="1"/>
        <v>8-11</v>
      </c>
      <c r="D15" t="str">
        <f>"PARTY_HOT4"</f>
        <v>PARTY_HOT4</v>
      </c>
      <c r="E15" s="123" t="str">
        <f t="shared" si="2"/>
        <v>1-4</v>
      </c>
      <c r="F15" s="115" t="s">
        <v>371</v>
      </c>
    </row>
    <row r="16" spans="1:6" x14ac:dyDescent="0.25">
      <c r="A16" s="115" t="str">
        <f t="shared" si="0"/>
        <v>070*_party_*.lua</v>
      </c>
      <c r="B16" t="str">
        <f>"27-30"</f>
        <v>27-30</v>
      </c>
      <c r="C16" t="str">
        <f t="shared" si="1"/>
        <v>8-11</v>
      </c>
      <c r="D16" t="str">
        <f>"PARTY_HOT5"</f>
        <v>PARTY_HOT5</v>
      </c>
      <c r="E16" s="123" t="str">
        <f t="shared" si="2"/>
        <v>1-4</v>
      </c>
      <c r="F16" s="115" t="s">
        <v>372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A301-76DD-4E9F-8875-036B68651BEC}">
  <dimension ref="A1:F23"/>
  <sheetViews>
    <sheetView workbookViewId="0">
      <selection sqref="A1:A1048576"/>
    </sheetView>
  </sheetViews>
  <sheetFormatPr defaultRowHeight="14" x14ac:dyDescent="0.25"/>
  <cols>
    <col min="1" max="1" width="30.81640625" bestFit="1" customWidth="1"/>
    <col min="2" max="2" width="8.26953125" bestFit="1" customWidth="1"/>
    <col min="3" max="3" width="6.26953125" customWidth="1"/>
    <col min="4" max="4" width="12.453125" bestFit="1" customWidth="1"/>
    <col min="5" max="5" width="6.26953125" bestFit="1" customWidth="1"/>
    <col min="6" max="6" width="82.6328125" bestFit="1" customWidth="1"/>
  </cols>
  <sheetData>
    <row r="1" spans="1:6" x14ac:dyDescent="0.25">
      <c r="A1" t="str">
        <f>"文件名"</f>
        <v>文件名</v>
      </c>
      <c r="B1" t="str">
        <f>"新坐标X"</f>
        <v>新坐标X</v>
      </c>
      <c r="C1" t="str">
        <f>"坐标Y"</f>
        <v>坐标Y</v>
      </c>
      <c r="D1" t="str">
        <f>"类型"</f>
        <v>类型</v>
      </c>
      <c r="E1" t="str">
        <f>"Index"</f>
        <v>Index</v>
      </c>
      <c r="F1" t="str">
        <f>"描述"</f>
        <v>描述</v>
      </c>
    </row>
    <row r="2" spans="1:6" x14ac:dyDescent="0.25">
      <c r="A2" t="str">
        <f>"0601_group_member_count.lua"</f>
        <v>0601_group_member_count.lua</v>
      </c>
      <c r="B2">
        <v>39</v>
      </c>
      <c r="C2">
        <v>5</v>
      </c>
      <c r="D2" t="str">
        <f t="shared" ref="D2:D23" si="0">"ENVIRONMENT"</f>
        <v>ENVIRONMENT</v>
      </c>
      <c r="E2">
        <v>1</v>
      </c>
      <c r="F2" t="str">
        <f>"当前适用队伍或团队的成员总数（包括玩家）"</f>
        <v>当前适用队伍或团队的成员总数（包括玩家）</v>
      </c>
    </row>
    <row r="3" spans="1:6" x14ac:dyDescent="0.25">
      <c r="A3" t="str">
        <f>"0602_group_type.lua"</f>
        <v>0602_group_type.lua</v>
      </c>
      <c r="B3">
        <v>40</v>
      </c>
      <c r="C3">
        <v>5</v>
      </c>
      <c r="D3" t="str">
        <f t="shared" si="0"/>
        <v>ENVIRONMENT</v>
      </c>
      <c r="E3">
        <v>2</v>
      </c>
      <c r="F3" t="str">
        <f>"Fuyutsui 兼容队伍类型：团队为玩家团队索引，队伍为 46，单人为 0"</f>
        <v>Fuyutsui 兼容队伍类型：团队为玩家团队索引，队伍为 46，单人为 0</v>
      </c>
    </row>
    <row r="4" spans="1:6" x14ac:dyDescent="0.25">
      <c r="A4" t="str">
        <f>"0603_boss_encounter.lua"</f>
        <v>0603_boss_encounter.lua</v>
      </c>
      <c r="B4">
        <v>41</v>
      </c>
      <c r="C4">
        <v>5</v>
      </c>
      <c r="D4" t="str">
        <f t="shared" si="0"/>
        <v>ENVIRONMENT</v>
      </c>
      <c r="E4">
        <v>3</v>
      </c>
      <c r="F4" t="str">
        <f>"当前首领战的ID， Fuyutsui 兼容紧凑编码；未战斗、未知首领 ID 或战斗结束时为 0"</f>
        <v>当前首领战的ID， Fuyutsui 兼容紧凑编码；未战斗、未知首领 ID 或战斗结束时为 0</v>
      </c>
    </row>
    <row r="5" spans="1:6" x14ac:dyDescent="0.25">
      <c r="A5" t="str">
        <f>"0604_instance_difficulty.lua"</f>
        <v>0604_instance_difficulty.lua</v>
      </c>
      <c r="B5">
        <v>42</v>
      </c>
      <c r="C5">
        <v>5</v>
      </c>
      <c r="D5" t="str">
        <f t="shared" si="0"/>
        <v>ENVIRONMENT</v>
      </c>
      <c r="E5">
        <v>4</v>
      </c>
      <c r="F5" t="str">
        <f>"当前副本的难度 ID（difficultyID）"</f>
        <v>当前副本的难度 ID（difficultyID）</v>
      </c>
    </row>
    <row r="6" spans="1:6" x14ac:dyDescent="0.25">
      <c r="A6" s="115" t="str">
        <f>"0605_{新增文件}"</f>
        <v>0605_{新增文件}</v>
      </c>
      <c r="B6">
        <v>43</v>
      </c>
      <c r="C6">
        <v>5</v>
      </c>
      <c r="D6" t="str">
        <f t="shared" si="0"/>
        <v>ENVIRONMENT</v>
      </c>
      <c r="E6">
        <v>5</v>
      </c>
      <c r="F6" s="115" t="s">
        <v>354</v>
      </c>
    </row>
    <row r="7" spans="1:6" x14ac:dyDescent="0.25">
      <c r="A7" s="115" t="str">
        <f>"0606_{新增文件}"</f>
        <v>0606_{新增文件}</v>
      </c>
      <c r="B7">
        <v>44</v>
      </c>
      <c r="C7">
        <v>5</v>
      </c>
      <c r="D7" t="str">
        <f t="shared" si="0"/>
        <v>ENVIRONMENT</v>
      </c>
      <c r="E7">
        <v>6</v>
      </c>
      <c r="F7" s="115" t="s">
        <v>355</v>
      </c>
    </row>
    <row r="8" spans="1:6" x14ac:dyDescent="0.25">
      <c r="A8" s="115" t="str">
        <f>"0607_{新增文件}"</f>
        <v>0607_{新增文件}</v>
      </c>
      <c r="B8">
        <v>45</v>
      </c>
      <c r="C8">
        <v>5</v>
      </c>
      <c r="D8" t="str">
        <f t="shared" si="0"/>
        <v>ENVIRONMENT</v>
      </c>
      <c r="E8">
        <v>7</v>
      </c>
      <c r="F8" s="115" t="s">
        <v>357</v>
      </c>
    </row>
    <row r="9" spans="1:6" x14ac:dyDescent="0.25">
      <c r="A9" s="115"/>
      <c r="B9">
        <v>46</v>
      </c>
      <c r="C9">
        <v>5</v>
      </c>
      <c r="D9" t="str">
        <f t="shared" si="0"/>
        <v>ENVIRONMENT</v>
      </c>
      <c r="E9">
        <v>8</v>
      </c>
    </row>
    <row r="10" spans="1:6" x14ac:dyDescent="0.25">
      <c r="B10">
        <v>47</v>
      </c>
      <c r="C10">
        <v>5</v>
      </c>
      <c r="D10" t="str">
        <f t="shared" si="0"/>
        <v>ENVIRONMENT</v>
      </c>
      <c r="E10">
        <v>9</v>
      </c>
    </row>
    <row r="11" spans="1:6" x14ac:dyDescent="0.25">
      <c r="B11">
        <v>48</v>
      </c>
      <c r="C11">
        <v>5</v>
      </c>
      <c r="D11" t="str">
        <f t="shared" si="0"/>
        <v>ENVIRONMENT</v>
      </c>
      <c r="E11">
        <v>10</v>
      </c>
    </row>
    <row r="12" spans="1:6" x14ac:dyDescent="0.25">
      <c r="B12">
        <v>49</v>
      </c>
      <c r="C12">
        <v>5</v>
      </c>
      <c r="D12" t="str">
        <f t="shared" si="0"/>
        <v>ENVIRONMENT</v>
      </c>
      <c r="E12">
        <v>11</v>
      </c>
    </row>
    <row r="13" spans="1:6" x14ac:dyDescent="0.25">
      <c r="B13">
        <v>50</v>
      </c>
      <c r="C13">
        <v>5</v>
      </c>
      <c r="D13" t="str">
        <f t="shared" si="0"/>
        <v>ENVIRONMENT</v>
      </c>
      <c r="E13">
        <v>12</v>
      </c>
    </row>
    <row r="14" spans="1:6" x14ac:dyDescent="0.25">
      <c r="B14">
        <v>51</v>
      </c>
      <c r="C14">
        <v>5</v>
      </c>
      <c r="D14" t="str">
        <f t="shared" si="0"/>
        <v>ENVIRONMENT</v>
      </c>
      <c r="E14">
        <v>13</v>
      </c>
    </row>
    <row r="15" spans="1:6" x14ac:dyDescent="0.25">
      <c r="B15">
        <v>52</v>
      </c>
      <c r="C15">
        <v>5</v>
      </c>
      <c r="D15" t="str">
        <f t="shared" si="0"/>
        <v>ENVIRONMENT</v>
      </c>
      <c r="E15">
        <v>14</v>
      </c>
    </row>
    <row r="16" spans="1:6" x14ac:dyDescent="0.25">
      <c r="B16">
        <v>53</v>
      </c>
      <c r="C16">
        <v>5</v>
      </c>
      <c r="D16" t="str">
        <f t="shared" si="0"/>
        <v>ENVIRONMENT</v>
      </c>
      <c r="E16">
        <v>15</v>
      </c>
    </row>
    <row r="17" spans="1:6" x14ac:dyDescent="0.25">
      <c r="B17">
        <v>54</v>
      </c>
      <c r="C17">
        <v>5</v>
      </c>
      <c r="D17" t="str">
        <f t="shared" si="0"/>
        <v>ENVIRONMENT</v>
      </c>
      <c r="E17">
        <v>16</v>
      </c>
    </row>
    <row r="18" spans="1:6" x14ac:dyDescent="0.25">
      <c r="B18">
        <v>55</v>
      </c>
      <c r="C18">
        <v>5</v>
      </c>
      <c r="D18" t="str">
        <f t="shared" si="0"/>
        <v>ENVIRONMENT</v>
      </c>
      <c r="E18">
        <v>17</v>
      </c>
    </row>
    <row r="19" spans="1:6" x14ac:dyDescent="0.25">
      <c r="B19">
        <v>56</v>
      </c>
      <c r="C19">
        <v>5</v>
      </c>
      <c r="D19" t="str">
        <f t="shared" si="0"/>
        <v>ENVIRONMENT</v>
      </c>
      <c r="E19">
        <v>18</v>
      </c>
    </row>
    <row r="20" spans="1:6" x14ac:dyDescent="0.25">
      <c r="A20" s="115" t="str">
        <f>"0619_{新增文件}"</f>
        <v>0619_{新增文件}</v>
      </c>
      <c r="B20">
        <v>57</v>
      </c>
      <c r="C20">
        <v>5</v>
      </c>
      <c r="D20" t="str">
        <f t="shared" si="0"/>
        <v>ENVIRONMENT</v>
      </c>
      <c r="E20">
        <v>19</v>
      </c>
      <c r="F20" s="115" t="s">
        <v>356</v>
      </c>
    </row>
    <row r="21" spans="1:6" x14ac:dyDescent="0.25">
      <c r="A21" s="115" t="str">
        <f>"0620_{新增文件}"</f>
        <v>0620_{新增文件}</v>
      </c>
      <c r="B21">
        <v>58</v>
      </c>
      <c r="C21">
        <v>5</v>
      </c>
      <c r="D21" t="str">
        <f t="shared" si="0"/>
        <v>ENVIRONMENT</v>
      </c>
      <c r="E21">
        <v>20</v>
      </c>
      <c r="F21" s="115" t="s">
        <v>362</v>
      </c>
    </row>
    <row r="22" spans="1:6" x14ac:dyDescent="0.25">
      <c r="A22" s="115" t="str">
        <f>"0621_{新增文件}"</f>
        <v>0621_{新增文件}</v>
      </c>
      <c r="B22">
        <v>59</v>
      </c>
      <c r="C22">
        <v>5</v>
      </c>
      <c r="D22" t="str">
        <f t="shared" si="0"/>
        <v>ENVIRONMENT</v>
      </c>
      <c r="E22">
        <v>21</v>
      </c>
      <c r="F22" s="115" t="s">
        <v>360</v>
      </c>
    </row>
    <row r="23" spans="1:6" x14ac:dyDescent="0.25">
      <c r="A23" s="115" t="str">
        <f>"0622_{新增文件}"</f>
        <v>0622_{新增文件}</v>
      </c>
      <c r="B23">
        <v>60</v>
      </c>
      <c r="C23">
        <v>5</v>
      </c>
      <c r="D23" t="str">
        <f t="shared" si="0"/>
        <v>ENVIRONMENT</v>
      </c>
      <c r="E23">
        <v>22</v>
      </c>
      <c r="F23" s="115" t="s">
        <v>363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3FB4-7825-4FEC-989E-44E7B67982F7}">
  <dimension ref="A1:F29"/>
  <sheetViews>
    <sheetView zoomScaleNormal="100" workbookViewId="0">
      <selection activeCell="F35" sqref="F35"/>
    </sheetView>
  </sheetViews>
  <sheetFormatPr defaultRowHeight="14" x14ac:dyDescent="0.25"/>
  <cols>
    <col min="1" max="1" width="41.6328125" customWidth="1"/>
    <col min="2" max="3" width="6.26953125" customWidth="1"/>
    <col min="4" max="4" width="21.08984375" bestFit="1" customWidth="1"/>
    <col min="5" max="5" width="6.26953125" bestFit="1" customWidth="1"/>
    <col min="6" max="6" width="39.453125" bestFit="1" customWidth="1"/>
  </cols>
  <sheetData>
    <row r="1" spans="1:6" x14ac:dyDescent="0.25">
      <c r="A1" t="str">
        <f>"文件名"</f>
        <v>文件名</v>
      </c>
      <c r="B1" t="str">
        <f>"新坐标X"</f>
        <v>新坐标X</v>
      </c>
      <c r="C1" t="str">
        <f>"新坐标Y"</f>
        <v>新坐标Y</v>
      </c>
      <c r="D1" t="str">
        <f>"CELL_CLASSIFICATION"</f>
        <v>CELL_CLASSIFICATION</v>
      </c>
      <c r="E1" t="str">
        <f>"INDEX"</f>
        <v>INDEX</v>
      </c>
      <c r="F1" t="str">
        <f>"描述"</f>
        <v>描述</v>
      </c>
    </row>
    <row r="2" spans="1:6" x14ac:dyDescent="0.25">
      <c r="A2" t="s">
        <v>275</v>
      </c>
      <c r="B2">
        <v>1</v>
      </c>
      <c r="C2">
        <v>7</v>
      </c>
      <c r="D2" t="str">
        <f t="shared" ref="D2:D21" si="0">"PLAYER_STATUS"</f>
        <v>PLAYER_STATUS</v>
      </c>
      <c r="E2" t="str">
        <f>"1"</f>
        <v>1</v>
      </c>
      <c r="F2" t="str">
        <f>"处于存活状态"</f>
        <v>处于存活状态</v>
      </c>
    </row>
    <row r="3" spans="1:6" x14ac:dyDescent="0.25">
      <c r="A3" t="s">
        <v>276</v>
      </c>
      <c r="B3">
        <v>2</v>
      </c>
      <c r="C3">
        <v>7</v>
      </c>
      <c r="D3" t="str">
        <f t="shared" si="0"/>
        <v>PLAYER_STATUS</v>
      </c>
      <c r="E3" t="str">
        <f>"2"</f>
        <v>2</v>
      </c>
      <c r="F3" t="str">
        <f>"职业 类型"</f>
        <v>职业 类型</v>
      </c>
    </row>
    <row r="4" spans="1:6" x14ac:dyDescent="0.25">
      <c r="A4" t="s">
        <v>277</v>
      </c>
      <c r="B4">
        <v>3</v>
      </c>
      <c r="C4">
        <v>7</v>
      </c>
      <c r="D4" t="str">
        <f t="shared" si="0"/>
        <v>PLAYER_STATUS</v>
      </c>
      <c r="E4" t="str">
        <f>"3"</f>
        <v>3</v>
      </c>
      <c r="F4" t="str">
        <f>"专精"</f>
        <v>专精</v>
      </c>
    </row>
    <row r="5" spans="1:6" x14ac:dyDescent="0.25">
      <c r="A5" t="s">
        <v>278</v>
      </c>
      <c r="B5">
        <v>4</v>
      </c>
      <c r="C5">
        <v>7</v>
      </c>
      <c r="D5" t="str">
        <f t="shared" si="0"/>
        <v>PLAYER_STATUS</v>
      </c>
      <c r="E5" t="str">
        <f>"4"</f>
        <v>4</v>
      </c>
      <c r="F5" t="str">
        <f>"职责 类型"</f>
        <v>职责 类型</v>
      </c>
    </row>
    <row r="6" spans="1:6" x14ac:dyDescent="0.25">
      <c r="A6" t="s">
        <v>279</v>
      </c>
      <c r="B6">
        <v>5</v>
      </c>
      <c r="C6">
        <v>7</v>
      </c>
      <c r="D6" t="str">
        <f t="shared" si="0"/>
        <v>PLAYER_STATUS</v>
      </c>
      <c r="E6" t="str">
        <f>"5"</f>
        <v>5</v>
      </c>
      <c r="F6" t="str">
        <f>"血量百分比"</f>
        <v>血量百分比</v>
      </c>
    </row>
    <row r="7" spans="1:6" x14ac:dyDescent="0.25">
      <c r="A7" t="s">
        <v>280</v>
      </c>
      <c r="B7">
        <v>6</v>
      </c>
      <c r="C7">
        <v>7</v>
      </c>
      <c r="D7" t="str">
        <f t="shared" si="0"/>
        <v>PLAYER_STATUS</v>
      </c>
      <c r="E7" t="str">
        <f>"6"</f>
        <v>6</v>
      </c>
      <c r="F7" t="str">
        <f>"主能量百分比"</f>
        <v>主能量百分比</v>
      </c>
    </row>
    <row r="8" spans="1:6" x14ac:dyDescent="0.25">
      <c r="A8" t="s">
        <v>281</v>
      </c>
      <c r="B8">
        <v>7</v>
      </c>
      <c r="C8">
        <v>7</v>
      </c>
      <c r="D8" t="str">
        <f t="shared" si="0"/>
        <v>PLAYER_STATUS</v>
      </c>
      <c r="E8" t="str">
        <f>"7"</f>
        <v>7</v>
      </c>
      <c r="F8" t="str">
        <f>"是否处于战斗中"</f>
        <v>是否处于战斗中</v>
      </c>
    </row>
    <row r="9" spans="1:6" x14ac:dyDescent="0.25">
      <c r="A9" t="s">
        <v>282</v>
      </c>
      <c r="B9">
        <v>8</v>
      </c>
      <c r="C9">
        <v>7</v>
      </c>
      <c r="D9" t="str">
        <f t="shared" si="0"/>
        <v>PLAYER_STATUS</v>
      </c>
      <c r="E9" t="str">
        <f>"8"</f>
        <v>8</v>
      </c>
      <c r="F9" t="str">
        <f>"是否是自己（玩家）的当前目标"</f>
        <v>是否是自己（玩家）的当前目标</v>
      </c>
    </row>
    <row r="10" spans="1:6" x14ac:dyDescent="0.25">
      <c r="A10" t="s">
        <v>283</v>
      </c>
      <c r="B10">
        <v>9</v>
      </c>
      <c r="C10">
        <v>7</v>
      </c>
      <c r="D10" t="str">
        <f t="shared" si="0"/>
        <v>PLAYER_STATUS</v>
      </c>
      <c r="E10" t="str">
        <f>"9"</f>
        <v>9</v>
      </c>
      <c r="F10" t="str">
        <f>"是否在移动"</f>
        <v>是否在移动</v>
      </c>
    </row>
    <row r="11" spans="1:6" x14ac:dyDescent="0.25">
      <c r="A11" t="s">
        <v>284</v>
      </c>
      <c r="B11">
        <v>10</v>
      </c>
      <c r="C11">
        <v>7</v>
      </c>
      <c r="D11" t="str">
        <f t="shared" si="0"/>
        <v>PLAYER_STATUS</v>
      </c>
      <c r="E11" t="str">
        <f>"10"</f>
        <v>10</v>
      </c>
      <c r="F11" t="str">
        <f>"是否在在骑乘/载具状态"</f>
        <v>是否在在骑乘/载具状态</v>
      </c>
    </row>
    <row r="12" spans="1:6" x14ac:dyDescent="0.25">
      <c r="A12" t="s">
        <v>285</v>
      </c>
      <c r="B12">
        <v>11</v>
      </c>
      <c r="C12">
        <v>7</v>
      </c>
      <c r="D12" t="str">
        <f t="shared" si="0"/>
        <v>PLAYER_STATUS</v>
      </c>
      <c r="E12" t="str">
        <f>"11"</f>
        <v>11</v>
      </c>
      <c r="F12" t="str">
        <f>"近战敌人计数"</f>
        <v>近战敌人计数</v>
      </c>
    </row>
    <row r="13" spans="1:6" x14ac:dyDescent="0.25">
      <c r="A13" t="s">
        <v>286</v>
      </c>
      <c r="B13">
        <v>12</v>
      </c>
      <c r="C13">
        <v>7</v>
      </c>
      <c r="D13" t="str">
        <f t="shared" si="0"/>
        <v>PLAYER_STATUS</v>
      </c>
      <c r="E13" t="str">
        <f>"12"</f>
        <v>12</v>
      </c>
      <c r="F13" t="str">
        <f>"是否正在选择施法目标中"</f>
        <v>是否正在选择施法目标中</v>
      </c>
    </row>
    <row r="14" spans="1:6" x14ac:dyDescent="0.25">
      <c r="A14" t="s">
        <v>287</v>
      </c>
      <c r="B14">
        <v>13</v>
      </c>
      <c r="C14">
        <v>7</v>
      </c>
      <c r="D14" t="str">
        <f t="shared" si="0"/>
        <v>PLAYER_STATUS</v>
      </c>
      <c r="E14" t="str">
        <f>"13"</f>
        <v>13</v>
      </c>
      <c r="F14" t="str">
        <f>"是否聊天框正在打开"</f>
        <v>是否聊天框正在打开</v>
      </c>
    </row>
    <row r="15" spans="1:6" x14ac:dyDescent="0.25">
      <c r="A15" t="s">
        <v>288</v>
      </c>
      <c r="B15">
        <v>14</v>
      </c>
      <c r="C15">
        <v>7</v>
      </c>
      <c r="D15" t="str">
        <f t="shared" si="0"/>
        <v>PLAYER_STATUS</v>
      </c>
      <c r="E15" t="str">
        <f>"14"</f>
        <v>14</v>
      </c>
      <c r="F15" t="str">
        <f>"是否处于组队状态"</f>
        <v>是否处于组队状态</v>
      </c>
    </row>
    <row r="16" spans="1:6" x14ac:dyDescent="0.25">
      <c r="A16" t="s">
        <v>289</v>
      </c>
      <c r="B16">
        <v>15</v>
      </c>
      <c r="C16">
        <v>7</v>
      </c>
      <c r="D16" t="str">
        <f t="shared" si="0"/>
        <v>PLAYER_STATUS</v>
      </c>
      <c r="E16" t="str">
        <f>"15"</f>
        <v>15</v>
      </c>
      <c r="F16" t="str">
        <f>"饰品1是否冷却好"</f>
        <v>饰品1是否冷却好</v>
      </c>
    </row>
    <row r="17" spans="1:6" x14ac:dyDescent="0.25">
      <c r="A17" t="s">
        <v>289</v>
      </c>
      <c r="B17">
        <v>16</v>
      </c>
      <c r="C17">
        <v>7</v>
      </c>
      <c r="D17" t="str">
        <f t="shared" si="0"/>
        <v>PLAYER_STATUS</v>
      </c>
      <c r="E17" t="str">
        <f>"16"</f>
        <v>16</v>
      </c>
      <c r="F17" t="str">
        <f>"饰品2是否冷却好"</f>
        <v>饰品2是否冷却好</v>
      </c>
    </row>
    <row r="18" spans="1:6" x14ac:dyDescent="0.25">
      <c r="A18" t="s">
        <v>290</v>
      </c>
      <c r="B18">
        <v>17</v>
      </c>
      <c r="C18">
        <v>7</v>
      </c>
      <c r="D18" t="str">
        <f t="shared" si="0"/>
        <v>PLAYER_STATUS</v>
      </c>
      <c r="E18" t="str">
        <f>"17"</f>
        <v>17</v>
      </c>
      <c r="F18" t="str">
        <f>"治疗石是否可用"</f>
        <v>治疗石是否可用</v>
      </c>
    </row>
    <row r="19" spans="1:6" x14ac:dyDescent="0.25">
      <c r="A19" t="s">
        <v>291</v>
      </c>
      <c r="B19">
        <v>18</v>
      </c>
      <c r="C19">
        <v>7</v>
      </c>
      <c r="D19" t="str">
        <f t="shared" si="0"/>
        <v>PLAYER_STATUS</v>
      </c>
      <c r="E19" t="str">
        <f>"18"</f>
        <v>18</v>
      </c>
      <c r="F19" t="str">
        <f>"治疗药水是否可用"</f>
        <v>治疗药水是否可用</v>
      </c>
    </row>
    <row r="20" spans="1:6" x14ac:dyDescent="0.25">
      <c r="A20" t="s">
        <v>292</v>
      </c>
      <c r="B20">
        <v>19</v>
      </c>
      <c r="C20">
        <v>7</v>
      </c>
      <c r="D20" t="str">
        <f t="shared" si="0"/>
        <v>PLAYER_STATUS</v>
      </c>
      <c r="E20" t="str">
        <f>"19"</f>
        <v>19</v>
      </c>
      <c r="F20" t="str">
        <f>"玩家的读条进度/玩家的引导进度"</f>
        <v>玩家的读条进度/玩家的引导进度</v>
      </c>
    </row>
    <row r="21" spans="1:6" x14ac:dyDescent="0.25">
      <c r="A21" t="s">
        <v>292</v>
      </c>
      <c r="B21">
        <v>20</v>
      </c>
      <c r="C21">
        <v>7</v>
      </c>
      <c r="D21" t="str">
        <f t="shared" si="0"/>
        <v>PLAYER_STATUS</v>
      </c>
      <c r="E21" t="str">
        <f>"20"</f>
        <v>20</v>
      </c>
      <c r="F21" t="str">
        <f>"玩家的蓄力技能状态"</f>
        <v>玩家的蓄力技能状态</v>
      </c>
    </row>
    <row r="22" spans="1:6" x14ac:dyDescent="0.25">
      <c r="A22" t="s">
        <v>292</v>
      </c>
      <c r="B22">
        <v>31</v>
      </c>
      <c r="C22">
        <v>5</v>
      </c>
      <c r="D22" t="str">
        <f>"无"</f>
        <v>无</v>
      </c>
      <c r="E22" t="str">
        <f>"无"</f>
        <v>无</v>
      </c>
      <c r="F22" t="str">
        <f>"玩家施法图标"</f>
        <v>玩家施法图标</v>
      </c>
    </row>
    <row r="23" spans="1:6" x14ac:dyDescent="0.25">
      <c r="A23" s="115" t="s">
        <v>307</v>
      </c>
      <c r="B23">
        <v>21</v>
      </c>
      <c r="C23">
        <v>7</v>
      </c>
      <c r="D23" t="str">
        <f t="shared" ref="D23:D29" si="1">"PLAYER_STATUS"</f>
        <v>PLAYER_STATUS</v>
      </c>
      <c r="E23" t="str">
        <f>"21"</f>
        <v>21</v>
      </c>
      <c r="F23" t="str">
        <f>"玩家的施法目标"</f>
        <v>玩家的施法目标</v>
      </c>
    </row>
    <row r="24" spans="1:6" x14ac:dyDescent="0.25">
      <c r="A24" t="s">
        <v>293</v>
      </c>
      <c r="B24">
        <v>22</v>
      </c>
      <c r="C24">
        <v>7</v>
      </c>
      <c r="D24" t="str">
        <f t="shared" si="1"/>
        <v>PLAYER_STATUS</v>
      </c>
      <c r="E24" t="str">
        <f>"22"</f>
        <v>22</v>
      </c>
      <c r="F24" t="str">
        <f>"玩家有大型防御效果"</f>
        <v>玩家有大型防御效果</v>
      </c>
    </row>
    <row r="25" spans="1:6" x14ac:dyDescent="0.25">
      <c r="A25" t="s">
        <v>294</v>
      </c>
      <c r="B25">
        <v>23</v>
      </c>
      <c r="C25">
        <v>7</v>
      </c>
      <c r="D25" t="str">
        <f t="shared" si="1"/>
        <v>PLAYER_STATUS</v>
      </c>
      <c r="E25" t="str">
        <f>"23"</f>
        <v>23</v>
      </c>
      <c r="F25" t="str">
        <f>"玩家有可驱散效果"</f>
        <v>玩家有可驱散效果</v>
      </c>
    </row>
    <row r="26" spans="1:6" x14ac:dyDescent="0.25">
      <c r="A26" t="s">
        <v>295</v>
      </c>
      <c r="B26">
        <v>24</v>
      </c>
      <c r="C26">
        <v>7</v>
      </c>
      <c r="D26" t="str">
        <f t="shared" si="1"/>
        <v>PLAYER_STATUS</v>
      </c>
      <c r="E26" t="str">
        <f>"24"</f>
        <v>24</v>
      </c>
      <c r="F26" t="str">
        <f>"玩家英雄天赋"</f>
        <v>玩家英雄天赋</v>
      </c>
    </row>
    <row r="27" spans="1:6" x14ac:dyDescent="0.25">
      <c r="A27" t="s">
        <v>296</v>
      </c>
      <c r="B27">
        <v>25</v>
      </c>
      <c r="C27">
        <v>7</v>
      </c>
      <c r="D27" t="str">
        <f t="shared" si="1"/>
        <v>PLAYER_STATUS</v>
      </c>
      <c r="E27" t="str">
        <f>"25"</f>
        <v>25</v>
      </c>
      <c r="F27" t="str">
        <f>"伤害吸收量≤10000时B=0，≥10001时B=1"</f>
        <v>伤害吸收量≤10000时B=0，≥10001时B=1</v>
      </c>
    </row>
    <row r="28" spans="1:6" x14ac:dyDescent="0.25">
      <c r="A28" t="s">
        <v>297</v>
      </c>
      <c r="B28">
        <v>26</v>
      </c>
      <c r="C28">
        <v>7</v>
      </c>
      <c r="D28" t="str">
        <f t="shared" si="1"/>
        <v>PLAYER_STATUS</v>
      </c>
      <c r="E28" t="str">
        <f>"26"</f>
        <v>26</v>
      </c>
      <c r="F28" t="str">
        <f>"治疗吸收量≤10000时B=0，≥10001时B=1"</f>
        <v>治疗吸收量≤10000时B=0，≥10001时B=1</v>
      </c>
    </row>
    <row r="29" spans="1:6" x14ac:dyDescent="0.25">
      <c r="A29" s="115" t="s">
        <v>373</v>
      </c>
      <c r="B29">
        <v>27</v>
      </c>
      <c r="C29">
        <v>7</v>
      </c>
      <c r="D29" t="str">
        <f t="shared" si="1"/>
        <v>PLAYER_STATUS</v>
      </c>
      <c r="E29" t="str">
        <f>"27"</f>
        <v>27</v>
      </c>
      <c r="F29" s="115" t="s">
        <v>374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9C7F-0ABE-41D0-9AD3-5C8912B073F8}">
  <dimension ref="A1:F13"/>
  <sheetViews>
    <sheetView workbookViewId="0">
      <selection sqref="A1:F13"/>
    </sheetView>
  </sheetViews>
  <sheetFormatPr defaultRowHeight="14" x14ac:dyDescent="0.25"/>
  <cols>
    <col min="1" max="1" width="39.453125" customWidth="1"/>
    <col min="2" max="3" width="8.26953125" bestFit="1" customWidth="1"/>
    <col min="4" max="4" width="21.08984375" bestFit="1" customWidth="1"/>
    <col min="5" max="5" width="6.26953125" bestFit="1" customWidth="1"/>
    <col min="6" max="6" width="44.81640625" bestFit="1" customWidth="1"/>
  </cols>
  <sheetData>
    <row r="1" spans="1:6" x14ac:dyDescent="0.25">
      <c r="A1" s="115" t="str">
        <f>"文件名"</f>
        <v>文件名</v>
      </c>
      <c r="B1" t="str">
        <f>"新坐标X"</f>
        <v>新坐标X</v>
      </c>
      <c r="C1" t="str">
        <f>"新坐标Y"</f>
        <v>新坐标Y</v>
      </c>
      <c r="D1" t="str">
        <f>"CELL_CLASSIFICATION"</f>
        <v>CELL_CLASSIFICATION</v>
      </c>
      <c r="E1" t="str">
        <f>"INDEX"</f>
        <v>INDEX</v>
      </c>
      <c r="F1" t="str">
        <f>"描述"</f>
        <v>描述</v>
      </c>
    </row>
    <row r="2" spans="1:6" x14ac:dyDescent="0.25">
      <c r="A2" t="s">
        <v>298</v>
      </c>
      <c r="B2">
        <v>33</v>
      </c>
      <c r="C2">
        <v>7</v>
      </c>
      <c r="D2" t="str">
        <f t="shared" ref="D2:D12" si="0">"TARGET_STATUS"</f>
        <v>TARGET_STATUS</v>
      </c>
      <c r="E2" t="str">
        <f>"1"</f>
        <v>1</v>
      </c>
      <c r="F2" t="str">
        <f>"目标的单位存在"</f>
        <v>目标的单位存在</v>
      </c>
    </row>
    <row r="3" spans="1:6" x14ac:dyDescent="0.25">
      <c r="A3" t="s">
        <v>299</v>
      </c>
      <c r="B3">
        <v>34</v>
      </c>
      <c r="C3">
        <v>7</v>
      </c>
      <c r="D3" t="str">
        <f t="shared" si="0"/>
        <v>TARGET_STATUS</v>
      </c>
      <c r="E3" t="str">
        <f>"2"</f>
        <v>2</v>
      </c>
      <c r="F3" t="str">
        <f>"目标的存活状态"</f>
        <v>目标的存活状态</v>
      </c>
    </row>
    <row r="4" spans="1:6" x14ac:dyDescent="0.25">
      <c r="A4" t="s">
        <v>300</v>
      </c>
      <c r="B4">
        <v>35</v>
      </c>
      <c r="C4">
        <v>7</v>
      </c>
      <c r="D4" t="str">
        <f t="shared" si="0"/>
        <v>TARGET_STATUS</v>
      </c>
      <c r="E4" t="str">
        <f>"3"</f>
        <v>3</v>
      </c>
      <c r="F4" t="str">
        <f>"目标的生命值百分比"</f>
        <v>目标的生命值百分比</v>
      </c>
    </row>
    <row r="5" spans="1:6" x14ac:dyDescent="0.25">
      <c r="A5" t="s">
        <v>301</v>
      </c>
      <c r="B5">
        <v>36</v>
      </c>
      <c r="C5">
        <v>7</v>
      </c>
      <c r="D5" t="str">
        <f t="shared" si="0"/>
        <v>TARGET_STATUS</v>
      </c>
      <c r="E5" t="str">
        <f>"4"</f>
        <v>4</v>
      </c>
      <c r="F5" t="str">
        <f>"目标的是否敌对"</f>
        <v>目标的是否敌对</v>
      </c>
    </row>
    <row r="6" spans="1:6" x14ac:dyDescent="0.25">
      <c r="A6" t="s">
        <v>302</v>
      </c>
      <c r="B6">
        <v>37</v>
      </c>
      <c r="C6">
        <v>7</v>
      </c>
      <c r="D6" t="str">
        <f t="shared" si="0"/>
        <v>TARGET_STATUS</v>
      </c>
      <c r="E6" t="str">
        <f>"5"</f>
        <v>5</v>
      </c>
      <c r="F6" t="str">
        <f>"目标的是否可攻击"</f>
        <v>目标的是否可攻击</v>
      </c>
    </row>
    <row r="7" spans="1:6" x14ac:dyDescent="0.25">
      <c r="A7" t="s">
        <v>303</v>
      </c>
      <c r="B7">
        <v>38</v>
      </c>
      <c r="C7">
        <v>7</v>
      </c>
      <c r="D7" t="str">
        <f t="shared" si="0"/>
        <v>TARGET_STATUS</v>
      </c>
      <c r="E7" t="str">
        <f>"6"</f>
        <v>6</v>
      </c>
      <c r="F7" t="str">
        <f>"目标的是否在远程范围内"</f>
        <v>目标的是否在远程范围内</v>
      </c>
    </row>
    <row r="8" spans="1:6" x14ac:dyDescent="0.25">
      <c r="A8" t="s">
        <v>304</v>
      </c>
      <c r="B8">
        <v>39</v>
      </c>
      <c r="C8">
        <v>7</v>
      </c>
      <c r="D8" t="str">
        <f t="shared" si="0"/>
        <v>TARGET_STATUS</v>
      </c>
      <c r="E8" t="str">
        <f>"7"</f>
        <v>7</v>
      </c>
      <c r="F8" t="str">
        <f>"目标的是否在近战范围内"</f>
        <v>目标的是否在近战范围内</v>
      </c>
    </row>
    <row r="9" spans="1:6" x14ac:dyDescent="0.25">
      <c r="A9" t="s">
        <v>305</v>
      </c>
      <c r="B9">
        <v>40</v>
      </c>
      <c r="C9">
        <v>7</v>
      </c>
      <c r="D9" t="str">
        <f t="shared" si="0"/>
        <v>TARGET_STATUS</v>
      </c>
      <c r="E9" t="str">
        <f>"8"</f>
        <v>8</v>
      </c>
      <c r="F9" t="str">
        <f>"目标的战斗中"</f>
        <v>目标的战斗中</v>
      </c>
    </row>
    <row r="10" spans="1:6" x14ac:dyDescent="0.25">
      <c r="A10" t="s">
        <v>306</v>
      </c>
      <c r="B10">
        <v>41</v>
      </c>
      <c r="C10">
        <v>7</v>
      </c>
      <c r="D10" t="str">
        <f t="shared" si="0"/>
        <v>TARGET_STATUS</v>
      </c>
      <c r="E10" t="str">
        <f>"9"</f>
        <v>9</v>
      </c>
      <c r="F10" t="str">
        <f>"目标的施法进度/目标的通道进度"</f>
        <v>目标的施法进度/目标的通道进度</v>
      </c>
    </row>
    <row r="11" spans="1:6" x14ac:dyDescent="0.25">
      <c r="A11" s="115" t="s">
        <v>308</v>
      </c>
      <c r="B11">
        <v>42</v>
      </c>
      <c r="C11">
        <v>7</v>
      </c>
      <c r="D11" t="str">
        <f t="shared" si="0"/>
        <v>TARGET_STATUS</v>
      </c>
      <c r="E11" t="str">
        <f>"10"</f>
        <v>10</v>
      </c>
      <c r="F11" t="str">
        <f>"目标的施法是否可中断/目标的通道是否可中断"</f>
        <v>目标的施法是否可中断/目标的通道是否可中断</v>
      </c>
    </row>
    <row r="12" spans="1:6" x14ac:dyDescent="0.25">
      <c r="A12" s="115" t="s">
        <v>309</v>
      </c>
      <c r="B12">
        <v>43</v>
      </c>
      <c r="C12">
        <v>7</v>
      </c>
      <c r="D12" t="str">
        <f t="shared" si="0"/>
        <v>TARGET_STATUS</v>
      </c>
      <c r="E12" t="str">
        <f>"11"</f>
        <v>11</v>
      </c>
      <c r="F12" t="str">
        <f>"目标有团队可驱散或偷取的增益效果"</f>
        <v>目标有团队可驱散或偷取的增益效果</v>
      </c>
    </row>
    <row r="13" spans="1:6" x14ac:dyDescent="0.25">
      <c r="A13" t="s">
        <v>306</v>
      </c>
      <c r="B13">
        <v>35</v>
      </c>
      <c r="C13">
        <v>5</v>
      </c>
      <c r="D13" t="str">
        <f>"无"</f>
        <v>无</v>
      </c>
      <c r="E13" t="str">
        <f>"无"</f>
        <v>无</v>
      </c>
      <c r="F13" t="str">
        <f>"目标的施法图标"</f>
        <v>目标的施法图标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7ED4-B1C9-42EE-97C4-D0D3FFBE5094}">
  <dimension ref="A1:F13"/>
  <sheetViews>
    <sheetView workbookViewId="0">
      <selection activeCell="G19" sqref="G19"/>
    </sheetView>
  </sheetViews>
  <sheetFormatPr defaultRowHeight="14" x14ac:dyDescent="0.25"/>
  <cols>
    <col min="1" max="1" width="38.36328125" customWidth="1"/>
    <col min="2" max="3" width="8.26953125" bestFit="1" customWidth="1"/>
    <col min="4" max="4" width="21.08984375" bestFit="1" customWidth="1"/>
    <col min="5" max="5" width="6.26953125" bestFit="1" customWidth="1"/>
    <col min="6" max="6" width="44.81640625" bestFit="1" customWidth="1"/>
  </cols>
  <sheetData>
    <row r="1" spans="1:6" x14ac:dyDescent="0.25">
      <c r="A1" t="str">
        <f>"文件名"</f>
        <v>文件名</v>
      </c>
      <c r="B1" t="str">
        <f>"新坐标X"</f>
        <v>新坐标X</v>
      </c>
      <c r="C1" t="str">
        <f>"新坐标Y"</f>
        <v>新坐标Y</v>
      </c>
      <c r="D1" t="str">
        <f>"CELL_CLASSIFICATION"</f>
        <v>CELL_CLASSIFICATION</v>
      </c>
      <c r="E1" t="str">
        <f>"INDEX"</f>
        <v>INDEX</v>
      </c>
      <c r="F1" t="str">
        <f>"描述"</f>
        <v>描述</v>
      </c>
    </row>
    <row r="2" spans="1:6" x14ac:dyDescent="0.25">
      <c r="A2" t="s">
        <v>266</v>
      </c>
      <c r="B2">
        <v>47</v>
      </c>
      <c r="C2">
        <v>7</v>
      </c>
      <c r="D2" t="str">
        <f t="shared" ref="D2:D12" si="0">"FOCUS_TARGET"</f>
        <v>FOCUS_TARGET</v>
      </c>
      <c r="E2" t="str">
        <f>"1"</f>
        <v>1</v>
      </c>
      <c r="F2" t="str">
        <f>"焦点的单位存在"</f>
        <v>焦点的单位存在</v>
      </c>
    </row>
    <row r="3" spans="1:6" x14ac:dyDescent="0.25">
      <c r="A3" t="s">
        <v>267</v>
      </c>
      <c r="B3">
        <v>48</v>
      </c>
      <c r="C3">
        <v>7</v>
      </c>
      <c r="D3" t="str">
        <f t="shared" si="0"/>
        <v>FOCUS_TARGET</v>
      </c>
      <c r="E3" t="str">
        <f>"2"</f>
        <v>2</v>
      </c>
      <c r="F3" t="str">
        <f>"焦点的存活状态"</f>
        <v>焦点的存活状态</v>
      </c>
    </row>
    <row r="4" spans="1:6" x14ac:dyDescent="0.25">
      <c r="A4" t="s">
        <v>268</v>
      </c>
      <c r="B4">
        <v>49</v>
      </c>
      <c r="C4">
        <v>7</v>
      </c>
      <c r="D4" t="str">
        <f t="shared" si="0"/>
        <v>FOCUS_TARGET</v>
      </c>
      <c r="E4" t="str">
        <f>"3"</f>
        <v>3</v>
      </c>
      <c r="F4" t="str">
        <f>"焦点的生命值百分比"</f>
        <v>焦点的生命值百分比</v>
      </c>
    </row>
    <row r="5" spans="1:6" x14ac:dyDescent="0.25">
      <c r="A5" t="s">
        <v>269</v>
      </c>
      <c r="B5">
        <v>50</v>
      </c>
      <c r="C5">
        <v>7</v>
      </c>
      <c r="D5" t="str">
        <f t="shared" si="0"/>
        <v>FOCUS_TARGET</v>
      </c>
      <c r="E5" t="str">
        <f>"4"</f>
        <v>4</v>
      </c>
      <c r="F5" t="str">
        <f>"焦点的是否敌对"</f>
        <v>焦点的是否敌对</v>
      </c>
    </row>
    <row r="6" spans="1:6" x14ac:dyDescent="0.25">
      <c r="A6" t="s">
        <v>270</v>
      </c>
      <c r="B6">
        <v>51</v>
      </c>
      <c r="C6">
        <v>7</v>
      </c>
      <c r="D6" t="str">
        <f t="shared" si="0"/>
        <v>FOCUS_TARGET</v>
      </c>
      <c r="E6" t="str">
        <f>"5"</f>
        <v>5</v>
      </c>
      <c r="F6" t="str">
        <f>"焦点的是否可攻击"</f>
        <v>焦点的是否可攻击</v>
      </c>
    </row>
    <row r="7" spans="1:6" x14ac:dyDescent="0.25">
      <c r="A7" t="s">
        <v>271</v>
      </c>
      <c r="B7">
        <v>52</v>
      </c>
      <c r="C7">
        <v>7</v>
      </c>
      <c r="D7" t="str">
        <f t="shared" si="0"/>
        <v>FOCUS_TARGET</v>
      </c>
      <c r="E7" t="str">
        <f>"6"</f>
        <v>6</v>
      </c>
      <c r="F7" t="str">
        <f>"焦点的是否在远程范围内"</f>
        <v>焦点的是否在远程范围内</v>
      </c>
    </row>
    <row r="8" spans="1:6" x14ac:dyDescent="0.25">
      <c r="A8" t="s">
        <v>272</v>
      </c>
      <c r="B8">
        <v>53</v>
      </c>
      <c r="C8">
        <v>7</v>
      </c>
      <c r="D8" t="str">
        <f t="shared" si="0"/>
        <v>FOCUS_TARGET</v>
      </c>
      <c r="E8" t="str">
        <f>"7"</f>
        <v>7</v>
      </c>
      <c r="F8" t="str">
        <f>"焦点的是否在近战范围内"</f>
        <v>焦点的是否在近战范围内</v>
      </c>
    </row>
    <row r="9" spans="1:6" x14ac:dyDescent="0.25">
      <c r="A9" t="s">
        <v>273</v>
      </c>
      <c r="B9">
        <v>54</v>
      </c>
      <c r="C9">
        <v>7</v>
      </c>
      <c r="D9" t="str">
        <f t="shared" si="0"/>
        <v>FOCUS_TARGET</v>
      </c>
      <c r="E9" t="str">
        <f>"8"</f>
        <v>8</v>
      </c>
      <c r="F9" t="str">
        <f>"焦点的战斗中"</f>
        <v>焦点的战斗中</v>
      </c>
    </row>
    <row r="10" spans="1:6" x14ac:dyDescent="0.25">
      <c r="A10" t="s">
        <v>274</v>
      </c>
      <c r="B10">
        <v>55</v>
      </c>
      <c r="C10">
        <v>7</v>
      </c>
      <c r="D10" t="str">
        <f t="shared" si="0"/>
        <v>FOCUS_TARGET</v>
      </c>
      <c r="E10" t="str">
        <f>"9"</f>
        <v>9</v>
      </c>
      <c r="F10" t="str">
        <f>"焦点的施法进度/目标的通道进度"</f>
        <v>焦点的施法进度/目标的通道进度</v>
      </c>
    </row>
    <row r="11" spans="1:6" x14ac:dyDescent="0.25">
      <c r="A11" t="s">
        <v>274</v>
      </c>
      <c r="B11">
        <v>56</v>
      </c>
      <c r="C11">
        <v>7</v>
      </c>
      <c r="D11" t="str">
        <f t="shared" si="0"/>
        <v>FOCUS_TARGET</v>
      </c>
      <c r="E11" t="str">
        <f>"10"</f>
        <v>10</v>
      </c>
      <c r="F11" t="str">
        <f>"焦点的施法是否可中断/目标的通道是否可中断"</f>
        <v>焦点的施法是否可中断/目标的通道是否可中断</v>
      </c>
    </row>
    <row r="12" spans="1:6" x14ac:dyDescent="0.25">
      <c r="A12" s="115" t="s">
        <v>310</v>
      </c>
      <c r="B12">
        <v>57</v>
      </c>
      <c r="C12">
        <v>7</v>
      </c>
      <c r="D12" t="str">
        <f t="shared" si="0"/>
        <v>FOCUS_TARGET</v>
      </c>
      <c r="E12" t="str">
        <f>"11"</f>
        <v>11</v>
      </c>
      <c r="F12" t="str">
        <f>"焦点有团队可驱散或偷取的增益效果"</f>
        <v>焦点有团队可驱散或偷取的增益效果</v>
      </c>
    </row>
    <row r="13" spans="1:6" x14ac:dyDescent="0.25">
      <c r="A13" t="s">
        <v>274</v>
      </c>
      <c r="B13">
        <v>37</v>
      </c>
      <c r="C13">
        <v>5</v>
      </c>
      <c r="D13" t="str">
        <f>"无"</f>
        <v>无</v>
      </c>
      <c r="E13" t="str">
        <f>"无"</f>
        <v>无</v>
      </c>
      <c r="F13" t="str">
        <f>"焦点的施法图标"</f>
        <v>焦点的施法图标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0885-E66E-4C8F-8AD4-2DAE8CFF3C94}">
  <dimension ref="A1:DC54"/>
  <sheetViews>
    <sheetView zoomScale="55" zoomScaleNormal="55" workbookViewId="0">
      <pane xSplit="1" topLeftCell="B1" activePane="topRight" state="frozen"/>
      <selection pane="topRight" activeCell="AA40" sqref="AA40"/>
    </sheetView>
  </sheetViews>
  <sheetFormatPr defaultColWidth="7.1796875" defaultRowHeight="36" customHeight="1" x14ac:dyDescent="0.25"/>
  <cols>
    <col min="1" max="78" width="7.26953125" style="10" bestFit="1" customWidth="1"/>
    <col min="79" max="81" width="7.81640625" style="10" bestFit="1" customWidth="1"/>
    <col min="82" max="86" width="7.26953125" style="10" bestFit="1" customWidth="1"/>
    <col min="87" max="16384" width="7.1796875" style="10"/>
  </cols>
  <sheetData>
    <row r="1" spans="1:86" ht="36" customHeight="1" thickBot="1" x14ac:dyDescent="0.3">
      <c r="A1" s="6"/>
      <c r="B1" s="7">
        <v>0</v>
      </c>
      <c r="C1" s="7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8">
        <v>17</v>
      </c>
      <c r="T1" s="8">
        <v>18</v>
      </c>
      <c r="U1" s="8">
        <v>19</v>
      </c>
      <c r="V1" s="8">
        <v>20</v>
      </c>
      <c r="W1" s="8">
        <v>21</v>
      </c>
      <c r="X1" s="8">
        <v>22</v>
      </c>
      <c r="Y1" s="8">
        <v>23</v>
      </c>
      <c r="Z1" s="8">
        <v>24</v>
      </c>
      <c r="AA1" s="8">
        <v>25</v>
      </c>
      <c r="AB1" s="8">
        <v>26</v>
      </c>
      <c r="AC1" s="8">
        <v>27</v>
      </c>
      <c r="AD1" s="8">
        <v>28</v>
      </c>
      <c r="AE1" s="8">
        <v>29</v>
      </c>
      <c r="AF1" s="8">
        <v>30</v>
      </c>
      <c r="AG1" s="8">
        <v>31</v>
      </c>
      <c r="AH1" s="8">
        <v>32</v>
      </c>
      <c r="AI1" s="8">
        <v>33</v>
      </c>
      <c r="AJ1" s="8">
        <v>34</v>
      </c>
      <c r="AK1" s="8">
        <v>35</v>
      </c>
      <c r="AL1" s="8">
        <v>36</v>
      </c>
      <c r="AM1" s="8">
        <v>37</v>
      </c>
      <c r="AN1" s="8">
        <v>38</v>
      </c>
      <c r="AO1" s="8">
        <v>39</v>
      </c>
      <c r="AP1" s="8">
        <v>40</v>
      </c>
      <c r="AQ1" s="8">
        <v>41</v>
      </c>
      <c r="AR1" s="8">
        <v>42</v>
      </c>
      <c r="AS1" s="8">
        <v>43</v>
      </c>
      <c r="AT1" s="8">
        <v>44</v>
      </c>
      <c r="AU1" s="8">
        <v>45</v>
      </c>
      <c r="AV1" s="8">
        <v>46</v>
      </c>
      <c r="AW1" s="8">
        <v>47</v>
      </c>
      <c r="AX1" s="8">
        <v>48</v>
      </c>
      <c r="AY1" s="8">
        <v>49</v>
      </c>
      <c r="AZ1" s="8">
        <v>50</v>
      </c>
      <c r="BA1" s="8">
        <v>51</v>
      </c>
      <c r="BB1" s="8">
        <v>52</v>
      </c>
      <c r="BC1" s="8">
        <v>53</v>
      </c>
      <c r="BD1" s="8">
        <v>54</v>
      </c>
      <c r="BE1" s="8">
        <v>55</v>
      </c>
      <c r="BF1" s="8">
        <v>56</v>
      </c>
      <c r="BG1" s="8">
        <v>57</v>
      </c>
      <c r="BH1" s="8">
        <v>58</v>
      </c>
      <c r="BI1" s="8">
        <v>59</v>
      </c>
      <c r="BJ1" s="8">
        <v>60</v>
      </c>
      <c r="BK1" s="8">
        <v>61</v>
      </c>
      <c r="BL1" s="8">
        <v>62</v>
      </c>
      <c r="BM1" s="8">
        <v>63</v>
      </c>
      <c r="BN1" s="8">
        <v>64</v>
      </c>
      <c r="BO1" s="8">
        <v>65</v>
      </c>
      <c r="BP1" s="8">
        <v>66</v>
      </c>
      <c r="BQ1" s="8">
        <v>67</v>
      </c>
      <c r="BR1" s="8">
        <v>68</v>
      </c>
      <c r="BS1" s="8">
        <v>69</v>
      </c>
      <c r="BT1" s="8">
        <v>70</v>
      </c>
      <c r="BU1" s="8">
        <v>71</v>
      </c>
      <c r="BV1" s="8">
        <v>72</v>
      </c>
      <c r="BW1" s="8">
        <v>73</v>
      </c>
      <c r="BX1" s="8">
        <v>74</v>
      </c>
      <c r="BY1" s="8">
        <v>75</v>
      </c>
      <c r="BZ1" s="8">
        <v>76</v>
      </c>
      <c r="CA1" s="8">
        <v>77</v>
      </c>
      <c r="CB1" s="8">
        <v>78</v>
      </c>
      <c r="CC1" s="8">
        <v>79</v>
      </c>
      <c r="CD1" s="8">
        <v>80</v>
      </c>
      <c r="CE1" s="8">
        <v>81</v>
      </c>
      <c r="CF1" s="7">
        <v>82</v>
      </c>
      <c r="CG1" s="7">
        <v>83</v>
      </c>
      <c r="CH1" s="9"/>
    </row>
    <row r="2" spans="1:86" ht="36" customHeight="1" x14ac:dyDescent="0.25">
      <c r="A2" s="11">
        <v>0</v>
      </c>
      <c r="B2" s="12"/>
      <c r="C2" s="13"/>
      <c r="D2" s="190" t="s">
        <v>72</v>
      </c>
      <c r="E2" s="191"/>
      <c r="F2" s="190" t="s">
        <v>73</v>
      </c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1"/>
      <c r="CD2" s="190">
        <v>40</v>
      </c>
      <c r="CE2" s="194"/>
      <c r="CF2" s="14" t="s">
        <v>74</v>
      </c>
      <c r="CG2" s="15" t="s">
        <v>75</v>
      </c>
      <c r="CH2" s="16">
        <v>0</v>
      </c>
    </row>
    <row r="3" spans="1:86" ht="36" customHeight="1" thickBot="1" x14ac:dyDescent="0.3">
      <c r="A3" s="11">
        <v>1</v>
      </c>
      <c r="B3" s="13"/>
      <c r="C3" s="12"/>
      <c r="D3" s="192"/>
      <c r="E3" s="193"/>
      <c r="F3" s="192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5"/>
      <c r="BO3" s="195"/>
      <c r="BP3" s="195"/>
      <c r="BQ3" s="195"/>
      <c r="BR3" s="195"/>
      <c r="BS3" s="195"/>
      <c r="BT3" s="195"/>
      <c r="BU3" s="195"/>
      <c r="BV3" s="195"/>
      <c r="BW3" s="195"/>
      <c r="BX3" s="195"/>
      <c r="BY3" s="195"/>
      <c r="BZ3" s="195"/>
      <c r="CA3" s="195"/>
      <c r="CB3" s="195"/>
      <c r="CC3" s="193"/>
      <c r="CD3" s="192"/>
      <c r="CE3" s="195"/>
      <c r="CF3" s="17"/>
      <c r="CG3" s="18"/>
      <c r="CH3" s="16">
        <v>1</v>
      </c>
    </row>
    <row r="4" spans="1:86" ht="36" customHeight="1" thickBot="1" x14ac:dyDescent="0.3">
      <c r="A4" s="11">
        <v>2</v>
      </c>
      <c r="B4" s="196" t="s">
        <v>76</v>
      </c>
      <c r="C4" s="197"/>
      <c r="D4" s="19" t="s">
        <v>77</v>
      </c>
      <c r="E4" s="20" t="s">
        <v>78</v>
      </c>
      <c r="F4" s="19" t="s">
        <v>77</v>
      </c>
      <c r="G4" s="20" t="s">
        <v>78</v>
      </c>
      <c r="H4" s="19" t="s">
        <v>77</v>
      </c>
      <c r="I4" s="20" t="s">
        <v>78</v>
      </c>
      <c r="J4" s="19" t="s">
        <v>77</v>
      </c>
      <c r="K4" s="20" t="s">
        <v>78</v>
      </c>
      <c r="L4" s="19" t="s">
        <v>77</v>
      </c>
      <c r="M4" s="20" t="s">
        <v>78</v>
      </c>
      <c r="N4" s="19" t="s">
        <v>77</v>
      </c>
      <c r="O4" s="20" t="s">
        <v>78</v>
      </c>
      <c r="P4" s="19" t="s">
        <v>77</v>
      </c>
      <c r="Q4" s="20" t="s">
        <v>78</v>
      </c>
      <c r="R4" s="19" t="s">
        <v>77</v>
      </c>
      <c r="S4" s="20" t="s">
        <v>78</v>
      </c>
      <c r="T4" s="19" t="s">
        <v>77</v>
      </c>
      <c r="U4" s="20" t="s">
        <v>78</v>
      </c>
      <c r="V4" s="19" t="s">
        <v>77</v>
      </c>
      <c r="W4" s="20" t="s">
        <v>78</v>
      </c>
      <c r="X4" s="19" t="s">
        <v>77</v>
      </c>
      <c r="Y4" s="20" t="s">
        <v>78</v>
      </c>
      <c r="Z4" s="19" t="s">
        <v>77</v>
      </c>
      <c r="AA4" s="20" t="s">
        <v>78</v>
      </c>
      <c r="AB4" s="19" t="s">
        <v>77</v>
      </c>
      <c r="AC4" s="20" t="s">
        <v>78</v>
      </c>
      <c r="AD4" s="19" t="s">
        <v>77</v>
      </c>
      <c r="AE4" s="20" t="s">
        <v>78</v>
      </c>
      <c r="AF4" s="19" t="s">
        <v>77</v>
      </c>
      <c r="AG4" s="20" t="s">
        <v>78</v>
      </c>
      <c r="AH4" s="19" t="s">
        <v>77</v>
      </c>
      <c r="AI4" s="20" t="s">
        <v>78</v>
      </c>
      <c r="AJ4" s="19" t="s">
        <v>77</v>
      </c>
      <c r="AK4" s="20" t="s">
        <v>78</v>
      </c>
      <c r="AL4" s="19" t="s">
        <v>77</v>
      </c>
      <c r="AM4" s="20" t="s">
        <v>78</v>
      </c>
      <c r="AN4" s="19" t="s">
        <v>77</v>
      </c>
      <c r="AO4" s="20" t="s">
        <v>78</v>
      </c>
      <c r="AP4" s="19" t="s">
        <v>77</v>
      </c>
      <c r="AQ4" s="20" t="s">
        <v>78</v>
      </c>
      <c r="AR4" s="19" t="s">
        <v>77</v>
      </c>
      <c r="AS4" s="20" t="s">
        <v>78</v>
      </c>
      <c r="AT4" s="19" t="s">
        <v>77</v>
      </c>
      <c r="AU4" s="20" t="s">
        <v>78</v>
      </c>
      <c r="AV4" s="19" t="s">
        <v>77</v>
      </c>
      <c r="AW4" s="20" t="s">
        <v>78</v>
      </c>
      <c r="AX4" s="19" t="s">
        <v>77</v>
      </c>
      <c r="AY4" s="20" t="s">
        <v>78</v>
      </c>
      <c r="AZ4" s="19" t="s">
        <v>77</v>
      </c>
      <c r="BA4" s="20" t="s">
        <v>78</v>
      </c>
      <c r="BB4" s="19" t="s">
        <v>77</v>
      </c>
      <c r="BC4" s="20" t="s">
        <v>78</v>
      </c>
      <c r="BD4" s="19" t="s">
        <v>77</v>
      </c>
      <c r="BE4" s="20" t="s">
        <v>78</v>
      </c>
      <c r="BF4" s="19" t="s">
        <v>77</v>
      </c>
      <c r="BG4" s="20" t="s">
        <v>78</v>
      </c>
      <c r="BH4" s="19" t="s">
        <v>77</v>
      </c>
      <c r="BI4" s="20" t="s">
        <v>78</v>
      </c>
      <c r="BJ4" s="19" t="s">
        <v>77</v>
      </c>
      <c r="BK4" s="20" t="s">
        <v>78</v>
      </c>
      <c r="BL4" s="19" t="s">
        <v>77</v>
      </c>
      <c r="BM4" s="20" t="s">
        <v>78</v>
      </c>
      <c r="BN4" s="19" t="s">
        <v>77</v>
      </c>
      <c r="BO4" s="20" t="s">
        <v>78</v>
      </c>
      <c r="BP4" s="19" t="s">
        <v>77</v>
      </c>
      <c r="BQ4" s="20" t="s">
        <v>78</v>
      </c>
      <c r="BR4" s="19" t="s">
        <v>77</v>
      </c>
      <c r="BS4" s="20" t="s">
        <v>78</v>
      </c>
      <c r="BT4" s="19" t="s">
        <v>77</v>
      </c>
      <c r="BU4" s="20" t="s">
        <v>78</v>
      </c>
      <c r="BV4" s="19" t="s">
        <v>77</v>
      </c>
      <c r="BW4" s="20" t="s">
        <v>78</v>
      </c>
      <c r="BX4" s="19" t="s">
        <v>77</v>
      </c>
      <c r="BY4" s="20" t="s">
        <v>78</v>
      </c>
      <c r="BZ4" s="19" t="s">
        <v>77</v>
      </c>
      <c r="CA4" s="20" t="s">
        <v>78</v>
      </c>
      <c r="CB4" s="19" t="s">
        <v>77</v>
      </c>
      <c r="CC4" s="20" t="s">
        <v>78</v>
      </c>
      <c r="CD4" s="19" t="s">
        <v>77</v>
      </c>
      <c r="CE4" s="21" t="s">
        <v>78</v>
      </c>
      <c r="CF4" s="17" t="s">
        <v>79</v>
      </c>
      <c r="CG4" s="22"/>
      <c r="CH4" s="16">
        <v>2</v>
      </c>
    </row>
    <row r="5" spans="1:86" ht="36" customHeight="1" thickBot="1" x14ac:dyDescent="0.3">
      <c r="A5" s="11">
        <v>3</v>
      </c>
      <c r="B5" s="198"/>
      <c r="C5" s="199"/>
      <c r="D5" s="20" t="s">
        <v>80</v>
      </c>
      <c r="E5" s="20" t="s">
        <v>81</v>
      </c>
      <c r="F5" s="20" t="s">
        <v>80</v>
      </c>
      <c r="G5" s="20" t="s">
        <v>81</v>
      </c>
      <c r="H5" s="20" t="s">
        <v>80</v>
      </c>
      <c r="I5" s="20" t="s">
        <v>81</v>
      </c>
      <c r="J5" s="20" t="s">
        <v>80</v>
      </c>
      <c r="K5" s="20" t="s">
        <v>81</v>
      </c>
      <c r="L5" s="20" t="s">
        <v>80</v>
      </c>
      <c r="M5" s="20" t="s">
        <v>81</v>
      </c>
      <c r="N5" s="20" t="s">
        <v>80</v>
      </c>
      <c r="O5" s="20" t="s">
        <v>81</v>
      </c>
      <c r="P5" s="20" t="s">
        <v>80</v>
      </c>
      <c r="Q5" s="20" t="s">
        <v>81</v>
      </c>
      <c r="R5" s="20" t="s">
        <v>80</v>
      </c>
      <c r="S5" s="20" t="s">
        <v>81</v>
      </c>
      <c r="T5" s="20" t="s">
        <v>80</v>
      </c>
      <c r="U5" s="20" t="s">
        <v>81</v>
      </c>
      <c r="V5" s="20" t="s">
        <v>80</v>
      </c>
      <c r="W5" s="20" t="s">
        <v>81</v>
      </c>
      <c r="X5" s="20" t="s">
        <v>80</v>
      </c>
      <c r="Y5" s="20" t="s">
        <v>81</v>
      </c>
      <c r="Z5" s="20" t="s">
        <v>80</v>
      </c>
      <c r="AA5" s="20" t="s">
        <v>81</v>
      </c>
      <c r="AB5" s="20" t="s">
        <v>80</v>
      </c>
      <c r="AC5" s="20" t="s">
        <v>81</v>
      </c>
      <c r="AD5" s="20" t="s">
        <v>80</v>
      </c>
      <c r="AE5" s="20" t="s">
        <v>81</v>
      </c>
      <c r="AF5" s="20" t="s">
        <v>80</v>
      </c>
      <c r="AG5" s="20" t="s">
        <v>81</v>
      </c>
      <c r="AH5" s="20" t="s">
        <v>80</v>
      </c>
      <c r="AI5" s="20" t="s">
        <v>81</v>
      </c>
      <c r="AJ5" s="20" t="s">
        <v>80</v>
      </c>
      <c r="AK5" s="20" t="s">
        <v>81</v>
      </c>
      <c r="AL5" s="20" t="s">
        <v>80</v>
      </c>
      <c r="AM5" s="20" t="s">
        <v>81</v>
      </c>
      <c r="AN5" s="20" t="s">
        <v>80</v>
      </c>
      <c r="AO5" s="20" t="s">
        <v>81</v>
      </c>
      <c r="AP5" s="20" t="s">
        <v>80</v>
      </c>
      <c r="AQ5" s="20" t="s">
        <v>81</v>
      </c>
      <c r="AR5" s="20" t="s">
        <v>80</v>
      </c>
      <c r="AS5" s="20" t="s">
        <v>81</v>
      </c>
      <c r="AT5" s="20" t="s">
        <v>80</v>
      </c>
      <c r="AU5" s="20" t="s">
        <v>81</v>
      </c>
      <c r="AV5" s="20" t="s">
        <v>80</v>
      </c>
      <c r="AW5" s="20" t="s">
        <v>81</v>
      </c>
      <c r="AX5" s="20" t="s">
        <v>80</v>
      </c>
      <c r="AY5" s="20" t="s">
        <v>81</v>
      </c>
      <c r="AZ5" s="20" t="s">
        <v>80</v>
      </c>
      <c r="BA5" s="20" t="s">
        <v>81</v>
      </c>
      <c r="BB5" s="20" t="s">
        <v>80</v>
      </c>
      <c r="BC5" s="20" t="s">
        <v>81</v>
      </c>
      <c r="BD5" s="20" t="s">
        <v>80</v>
      </c>
      <c r="BE5" s="20" t="s">
        <v>81</v>
      </c>
      <c r="BF5" s="20" t="s">
        <v>80</v>
      </c>
      <c r="BG5" s="20" t="s">
        <v>81</v>
      </c>
      <c r="BH5" s="20" t="s">
        <v>80</v>
      </c>
      <c r="BI5" s="20" t="s">
        <v>81</v>
      </c>
      <c r="BJ5" s="20" t="s">
        <v>80</v>
      </c>
      <c r="BK5" s="20" t="s">
        <v>81</v>
      </c>
      <c r="BL5" s="20" t="s">
        <v>80</v>
      </c>
      <c r="BM5" s="20" t="s">
        <v>81</v>
      </c>
      <c r="BN5" s="20" t="s">
        <v>80</v>
      </c>
      <c r="BO5" s="20" t="s">
        <v>81</v>
      </c>
      <c r="BP5" s="20" t="s">
        <v>80</v>
      </c>
      <c r="BQ5" s="20" t="s">
        <v>81</v>
      </c>
      <c r="BR5" s="20" t="s">
        <v>80</v>
      </c>
      <c r="BS5" s="20" t="s">
        <v>81</v>
      </c>
      <c r="BT5" s="20" t="s">
        <v>80</v>
      </c>
      <c r="BU5" s="20" t="s">
        <v>81</v>
      </c>
      <c r="BV5" s="20" t="s">
        <v>80</v>
      </c>
      <c r="BW5" s="20" t="s">
        <v>81</v>
      </c>
      <c r="BX5" s="20" t="s">
        <v>80</v>
      </c>
      <c r="BY5" s="20" t="s">
        <v>81</v>
      </c>
      <c r="BZ5" s="20" t="s">
        <v>80</v>
      </c>
      <c r="CA5" s="20" t="s">
        <v>81</v>
      </c>
      <c r="CB5" s="20" t="s">
        <v>80</v>
      </c>
      <c r="CC5" s="20" t="s">
        <v>81</v>
      </c>
      <c r="CD5" s="20" t="s">
        <v>80</v>
      </c>
      <c r="CE5" s="21" t="s">
        <v>81</v>
      </c>
      <c r="CF5" s="23"/>
      <c r="CG5" s="24"/>
      <c r="CH5" s="16">
        <v>3</v>
      </c>
    </row>
    <row r="6" spans="1:86" ht="36" customHeight="1" x14ac:dyDescent="0.25">
      <c r="A6" s="8">
        <v>4</v>
      </c>
      <c r="B6" s="200" t="s">
        <v>82</v>
      </c>
      <c r="C6" s="201" t="s">
        <v>72</v>
      </c>
      <c r="D6" s="202"/>
      <c r="E6" s="201" t="s">
        <v>83</v>
      </c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2"/>
      <c r="BI6" s="201">
        <v>30</v>
      </c>
      <c r="BJ6" s="202"/>
      <c r="BK6" s="200" t="s">
        <v>82</v>
      </c>
      <c r="BL6" s="207" t="s">
        <v>72</v>
      </c>
      <c r="BM6" s="208"/>
      <c r="BN6" s="207" t="s">
        <v>84</v>
      </c>
      <c r="BO6" s="215"/>
      <c r="BP6" s="215"/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08"/>
      <c r="CD6" s="207">
        <v>10</v>
      </c>
      <c r="CE6" s="208"/>
      <c r="CF6" s="217">
        <v>11</v>
      </c>
      <c r="CG6" s="218"/>
      <c r="CH6" s="8">
        <v>4</v>
      </c>
    </row>
    <row r="7" spans="1:86" ht="36" customHeight="1" thickBot="1" x14ac:dyDescent="0.3">
      <c r="A7" s="8">
        <v>5</v>
      </c>
      <c r="B7" s="200"/>
      <c r="C7" s="203"/>
      <c r="D7" s="204"/>
      <c r="E7" s="203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4"/>
      <c r="BI7" s="203"/>
      <c r="BJ7" s="204"/>
      <c r="BK7" s="200"/>
      <c r="BL7" s="209"/>
      <c r="BM7" s="210"/>
      <c r="BN7" s="209"/>
      <c r="BO7" s="216"/>
      <c r="BP7" s="216"/>
      <c r="BQ7" s="216"/>
      <c r="BR7" s="216"/>
      <c r="BS7" s="216"/>
      <c r="BT7" s="216"/>
      <c r="BU7" s="216"/>
      <c r="BV7" s="216"/>
      <c r="BW7" s="216"/>
      <c r="BX7" s="216"/>
      <c r="BY7" s="216"/>
      <c r="BZ7" s="216"/>
      <c r="CA7" s="216"/>
      <c r="CB7" s="216"/>
      <c r="CC7" s="210"/>
      <c r="CD7" s="209"/>
      <c r="CE7" s="210"/>
      <c r="CF7" s="209"/>
      <c r="CG7" s="210"/>
      <c r="CH7" s="8">
        <v>5</v>
      </c>
    </row>
    <row r="8" spans="1:86" ht="36" customHeight="1" thickBot="1" x14ac:dyDescent="0.3">
      <c r="A8" s="8">
        <v>6</v>
      </c>
      <c r="B8" s="200"/>
      <c r="C8" s="25" t="s">
        <v>85</v>
      </c>
      <c r="D8" s="26" t="s">
        <v>86</v>
      </c>
      <c r="E8" s="25" t="s">
        <v>85</v>
      </c>
      <c r="F8" s="26" t="s">
        <v>87</v>
      </c>
      <c r="G8" s="25" t="s">
        <v>85</v>
      </c>
      <c r="H8" s="26" t="s">
        <v>87</v>
      </c>
      <c r="I8" s="25" t="s">
        <v>85</v>
      </c>
      <c r="J8" s="26" t="s">
        <v>87</v>
      </c>
      <c r="K8" s="25" t="s">
        <v>85</v>
      </c>
      <c r="L8" s="26" t="s">
        <v>87</v>
      </c>
      <c r="M8" s="25" t="s">
        <v>85</v>
      </c>
      <c r="N8" s="26" t="s">
        <v>87</v>
      </c>
      <c r="O8" s="25" t="s">
        <v>85</v>
      </c>
      <c r="P8" s="26" t="s">
        <v>87</v>
      </c>
      <c r="Q8" s="25" t="s">
        <v>85</v>
      </c>
      <c r="R8" s="26" t="s">
        <v>87</v>
      </c>
      <c r="S8" s="25" t="s">
        <v>85</v>
      </c>
      <c r="T8" s="26" t="s">
        <v>87</v>
      </c>
      <c r="U8" s="25" t="s">
        <v>85</v>
      </c>
      <c r="V8" s="26" t="s">
        <v>87</v>
      </c>
      <c r="W8" s="25" t="s">
        <v>85</v>
      </c>
      <c r="X8" s="26" t="s">
        <v>87</v>
      </c>
      <c r="Y8" s="25" t="s">
        <v>85</v>
      </c>
      <c r="Z8" s="26" t="s">
        <v>87</v>
      </c>
      <c r="AA8" s="25" t="s">
        <v>85</v>
      </c>
      <c r="AB8" s="26" t="s">
        <v>87</v>
      </c>
      <c r="AC8" s="25" t="s">
        <v>85</v>
      </c>
      <c r="AD8" s="26" t="s">
        <v>87</v>
      </c>
      <c r="AE8" s="25" t="s">
        <v>85</v>
      </c>
      <c r="AF8" s="26" t="s">
        <v>87</v>
      </c>
      <c r="AG8" s="25" t="s">
        <v>85</v>
      </c>
      <c r="AH8" s="26" t="s">
        <v>87</v>
      </c>
      <c r="AI8" s="25" t="s">
        <v>85</v>
      </c>
      <c r="AJ8" s="26" t="s">
        <v>87</v>
      </c>
      <c r="AK8" s="25" t="s">
        <v>85</v>
      </c>
      <c r="AL8" s="26" t="s">
        <v>87</v>
      </c>
      <c r="AM8" s="25" t="s">
        <v>85</v>
      </c>
      <c r="AN8" s="26" t="s">
        <v>87</v>
      </c>
      <c r="AO8" s="25" t="s">
        <v>85</v>
      </c>
      <c r="AP8" s="26" t="s">
        <v>87</v>
      </c>
      <c r="AQ8" s="25" t="s">
        <v>85</v>
      </c>
      <c r="AR8" s="26" t="s">
        <v>87</v>
      </c>
      <c r="AS8" s="25" t="s">
        <v>85</v>
      </c>
      <c r="AT8" s="26" t="s">
        <v>87</v>
      </c>
      <c r="AU8" s="25" t="s">
        <v>85</v>
      </c>
      <c r="AV8" s="26" t="s">
        <v>87</v>
      </c>
      <c r="AW8" s="25" t="s">
        <v>85</v>
      </c>
      <c r="AX8" s="26" t="s">
        <v>87</v>
      </c>
      <c r="AY8" s="25" t="s">
        <v>85</v>
      </c>
      <c r="AZ8" s="26" t="s">
        <v>87</v>
      </c>
      <c r="BA8" s="25" t="s">
        <v>85</v>
      </c>
      <c r="BB8" s="26" t="s">
        <v>87</v>
      </c>
      <c r="BC8" s="25" t="s">
        <v>85</v>
      </c>
      <c r="BD8" s="26" t="s">
        <v>87</v>
      </c>
      <c r="BE8" s="25" t="s">
        <v>85</v>
      </c>
      <c r="BF8" s="26" t="s">
        <v>87</v>
      </c>
      <c r="BG8" s="25" t="s">
        <v>85</v>
      </c>
      <c r="BH8" s="26" t="s">
        <v>87</v>
      </c>
      <c r="BI8" s="25" t="s">
        <v>85</v>
      </c>
      <c r="BJ8" s="26" t="s">
        <v>87</v>
      </c>
      <c r="BK8" s="200"/>
      <c r="BL8" s="27" t="s">
        <v>77</v>
      </c>
      <c r="BM8" s="28" t="s">
        <v>78</v>
      </c>
      <c r="BN8" s="27" t="s">
        <v>77</v>
      </c>
      <c r="BO8" s="28" t="s">
        <v>78</v>
      </c>
      <c r="BP8" s="27" t="s">
        <v>77</v>
      </c>
      <c r="BQ8" s="28" t="s">
        <v>78</v>
      </c>
      <c r="BR8" s="27" t="s">
        <v>77</v>
      </c>
      <c r="BS8" s="28" t="s">
        <v>78</v>
      </c>
      <c r="BT8" s="27" t="s">
        <v>77</v>
      </c>
      <c r="BU8" s="28" t="s">
        <v>78</v>
      </c>
      <c r="BV8" s="27" t="s">
        <v>77</v>
      </c>
      <c r="BW8" s="28" t="s">
        <v>78</v>
      </c>
      <c r="BX8" s="27" t="s">
        <v>77</v>
      </c>
      <c r="BY8" s="28" t="s">
        <v>78</v>
      </c>
      <c r="BZ8" s="27" t="s">
        <v>77</v>
      </c>
      <c r="CA8" s="28" t="s">
        <v>78</v>
      </c>
      <c r="CB8" s="27" t="s">
        <v>77</v>
      </c>
      <c r="CC8" s="28" t="s">
        <v>78</v>
      </c>
      <c r="CD8" s="27" t="s">
        <v>77</v>
      </c>
      <c r="CE8" s="28" t="s">
        <v>78</v>
      </c>
      <c r="CF8" s="27" t="s">
        <v>77</v>
      </c>
      <c r="CG8" s="28" t="s">
        <v>78</v>
      </c>
      <c r="CH8" s="8">
        <v>6</v>
      </c>
    </row>
    <row r="9" spans="1:86" ht="36" customHeight="1" thickBot="1" x14ac:dyDescent="0.3">
      <c r="A9" s="8">
        <v>7</v>
      </c>
      <c r="B9" s="200"/>
      <c r="C9" s="211" t="s">
        <v>88</v>
      </c>
      <c r="D9" s="212"/>
      <c r="E9" s="211" t="s">
        <v>88</v>
      </c>
      <c r="F9" s="212"/>
      <c r="G9" s="211" t="s">
        <v>88</v>
      </c>
      <c r="H9" s="212"/>
      <c r="I9" s="211" t="s">
        <v>88</v>
      </c>
      <c r="J9" s="212"/>
      <c r="K9" s="211" t="s">
        <v>88</v>
      </c>
      <c r="L9" s="212"/>
      <c r="M9" s="211" t="s">
        <v>88</v>
      </c>
      <c r="N9" s="212"/>
      <c r="O9" s="211" t="s">
        <v>88</v>
      </c>
      <c r="P9" s="212"/>
      <c r="Q9" s="211" t="s">
        <v>88</v>
      </c>
      <c r="R9" s="212"/>
      <c r="S9" s="211" t="s">
        <v>88</v>
      </c>
      <c r="T9" s="212"/>
      <c r="U9" s="211" t="s">
        <v>88</v>
      </c>
      <c r="V9" s="212"/>
      <c r="W9" s="211" t="s">
        <v>88</v>
      </c>
      <c r="X9" s="212"/>
      <c r="Y9" s="211" t="s">
        <v>88</v>
      </c>
      <c r="Z9" s="212"/>
      <c r="AA9" s="211" t="s">
        <v>88</v>
      </c>
      <c r="AB9" s="212"/>
      <c r="AC9" s="211" t="s">
        <v>88</v>
      </c>
      <c r="AD9" s="212"/>
      <c r="AE9" s="211" t="s">
        <v>88</v>
      </c>
      <c r="AF9" s="212"/>
      <c r="AG9" s="211" t="s">
        <v>88</v>
      </c>
      <c r="AH9" s="212"/>
      <c r="AI9" s="211" t="s">
        <v>88</v>
      </c>
      <c r="AJ9" s="212"/>
      <c r="AK9" s="211" t="s">
        <v>88</v>
      </c>
      <c r="AL9" s="212"/>
      <c r="AM9" s="211" t="s">
        <v>88</v>
      </c>
      <c r="AN9" s="212"/>
      <c r="AO9" s="211" t="s">
        <v>88</v>
      </c>
      <c r="AP9" s="212"/>
      <c r="AQ9" s="211" t="s">
        <v>88</v>
      </c>
      <c r="AR9" s="212"/>
      <c r="AS9" s="211" t="s">
        <v>88</v>
      </c>
      <c r="AT9" s="212"/>
      <c r="AU9" s="211" t="s">
        <v>88</v>
      </c>
      <c r="AV9" s="212"/>
      <c r="AW9" s="211" t="s">
        <v>88</v>
      </c>
      <c r="AX9" s="212"/>
      <c r="AY9" s="211" t="s">
        <v>88</v>
      </c>
      <c r="AZ9" s="212"/>
      <c r="BA9" s="211" t="s">
        <v>88</v>
      </c>
      <c r="BB9" s="212"/>
      <c r="BC9" s="211" t="s">
        <v>88</v>
      </c>
      <c r="BD9" s="212"/>
      <c r="BE9" s="211" t="s">
        <v>88</v>
      </c>
      <c r="BF9" s="212"/>
      <c r="BG9" s="211" t="s">
        <v>88</v>
      </c>
      <c r="BH9" s="212"/>
      <c r="BI9" s="211" t="s">
        <v>88</v>
      </c>
      <c r="BJ9" s="212"/>
      <c r="BK9" s="200"/>
      <c r="BL9" s="28" t="s">
        <v>80</v>
      </c>
      <c r="BM9" s="28" t="s">
        <v>81</v>
      </c>
      <c r="BN9" s="28" t="s">
        <v>80</v>
      </c>
      <c r="BO9" s="28" t="s">
        <v>81</v>
      </c>
      <c r="BP9" s="28" t="s">
        <v>80</v>
      </c>
      <c r="BQ9" s="28" t="s">
        <v>81</v>
      </c>
      <c r="BR9" s="28" t="s">
        <v>80</v>
      </c>
      <c r="BS9" s="28" t="s">
        <v>81</v>
      </c>
      <c r="BT9" s="28" t="s">
        <v>80</v>
      </c>
      <c r="BU9" s="28" t="s">
        <v>81</v>
      </c>
      <c r="BV9" s="28" t="s">
        <v>80</v>
      </c>
      <c r="BW9" s="28" t="s">
        <v>81</v>
      </c>
      <c r="BX9" s="28" t="s">
        <v>80</v>
      </c>
      <c r="BY9" s="28" t="s">
        <v>81</v>
      </c>
      <c r="BZ9" s="28" t="s">
        <v>80</v>
      </c>
      <c r="CA9" s="28" t="s">
        <v>81</v>
      </c>
      <c r="CB9" s="28" t="s">
        <v>80</v>
      </c>
      <c r="CC9" s="28" t="s">
        <v>81</v>
      </c>
      <c r="CD9" s="28" t="s">
        <v>80</v>
      </c>
      <c r="CE9" s="28" t="s">
        <v>81</v>
      </c>
      <c r="CF9" s="28" t="s">
        <v>80</v>
      </c>
      <c r="CG9" s="28" t="s">
        <v>81</v>
      </c>
      <c r="CH9" s="8">
        <v>7</v>
      </c>
    </row>
    <row r="10" spans="1:86" ht="36" customHeight="1" thickBot="1" x14ac:dyDescent="0.3">
      <c r="A10" s="8">
        <v>8</v>
      </c>
      <c r="B10" s="200"/>
      <c r="C10" s="213"/>
      <c r="D10" s="214"/>
      <c r="E10" s="213"/>
      <c r="F10" s="214"/>
      <c r="G10" s="213"/>
      <c r="H10" s="214"/>
      <c r="I10" s="213"/>
      <c r="J10" s="214"/>
      <c r="K10" s="213"/>
      <c r="L10" s="214"/>
      <c r="M10" s="213"/>
      <c r="N10" s="214"/>
      <c r="O10" s="213"/>
      <c r="P10" s="214"/>
      <c r="Q10" s="213"/>
      <c r="R10" s="214"/>
      <c r="S10" s="213"/>
      <c r="T10" s="214"/>
      <c r="U10" s="213"/>
      <c r="V10" s="214"/>
      <c r="W10" s="213"/>
      <c r="X10" s="214"/>
      <c r="Y10" s="213"/>
      <c r="Z10" s="214"/>
      <c r="AA10" s="213"/>
      <c r="AB10" s="214"/>
      <c r="AC10" s="213"/>
      <c r="AD10" s="214"/>
      <c r="AE10" s="213"/>
      <c r="AF10" s="214"/>
      <c r="AG10" s="213"/>
      <c r="AH10" s="214"/>
      <c r="AI10" s="213"/>
      <c r="AJ10" s="214"/>
      <c r="AK10" s="213"/>
      <c r="AL10" s="214"/>
      <c r="AM10" s="213"/>
      <c r="AN10" s="214"/>
      <c r="AO10" s="213"/>
      <c r="AP10" s="214"/>
      <c r="AQ10" s="213"/>
      <c r="AR10" s="214"/>
      <c r="AS10" s="213"/>
      <c r="AT10" s="214"/>
      <c r="AU10" s="213"/>
      <c r="AV10" s="214"/>
      <c r="AW10" s="213"/>
      <c r="AX10" s="214"/>
      <c r="AY10" s="213"/>
      <c r="AZ10" s="214"/>
      <c r="BA10" s="213"/>
      <c r="BB10" s="214"/>
      <c r="BC10" s="213"/>
      <c r="BD10" s="214"/>
      <c r="BE10" s="213"/>
      <c r="BF10" s="214"/>
      <c r="BG10" s="213"/>
      <c r="BH10" s="214"/>
      <c r="BI10" s="213"/>
      <c r="BJ10" s="214"/>
      <c r="BK10" s="200"/>
      <c r="BL10" s="219" t="s">
        <v>89</v>
      </c>
      <c r="BM10" s="220"/>
      <c r="BN10" s="219" t="s">
        <v>89</v>
      </c>
      <c r="BO10" s="220"/>
      <c r="BP10" s="219" t="s">
        <v>89</v>
      </c>
      <c r="BQ10" s="220"/>
      <c r="BR10" s="219" t="s">
        <v>89</v>
      </c>
      <c r="BS10" s="220"/>
      <c r="BT10" s="219" t="s">
        <v>89</v>
      </c>
      <c r="BU10" s="220"/>
      <c r="BV10" s="219" t="s">
        <v>89</v>
      </c>
      <c r="BW10" s="220"/>
      <c r="BX10" s="219" t="s">
        <v>89</v>
      </c>
      <c r="BY10" s="220"/>
      <c r="BZ10" s="219" t="s">
        <v>89</v>
      </c>
      <c r="CA10" s="220"/>
      <c r="CB10" s="219" t="s">
        <v>89</v>
      </c>
      <c r="CC10" s="220"/>
      <c r="CD10" s="219" t="s">
        <v>89</v>
      </c>
      <c r="CE10" s="220"/>
      <c r="CF10" s="219" t="s">
        <v>89</v>
      </c>
      <c r="CG10" s="220"/>
      <c r="CH10" s="8">
        <v>8</v>
      </c>
    </row>
    <row r="11" spans="1:86" ht="36" customHeight="1" thickBot="1" x14ac:dyDescent="0.3">
      <c r="A11" s="8">
        <v>9</v>
      </c>
      <c r="B11" s="200" t="s">
        <v>82</v>
      </c>
      <c r="C11" s="207" t="s">
        <v>72</v>
      </c>
      <c r="D11" s="208"/>
      <c r="E11" s="207" t="s">
        <v>90</v>
      </c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08"/>
      <c r="W11" s="200" t="s">
        <v>82</v>
      </c>
      <c r="X11" s="223" t="s">
        <v>72</v>
      </c>
      <c r="Y11" s="224"/>
      <c r="Z11" s="223" t="s">
        <v>91</v>
      </c>
      <c r="AA11" s="227"/>
      <c r="AB11" s="227"/>
      <c r="AC11" s="227"/>
      <c r="AD11" s="227"/>
      <c r="AE11" s="227"/>
      <c r="AF11" s="227"/>
      <c r="AG11" s="227"/>
      <c r="AH11" s="227"/>
      <c r="AI11" s="227"/>
      <c r="AJ11" s="227"/>
      <c r="AK11" s="227"/>
      <c r="AL11" s="227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4"/>
      <c r="BB11" s="223">
        <v>16</v>
      </c>
      <c r="BC11" s="224"/>
      <c r="BD11" s="29" t="s">
        <v>92</v>
      </c>
      <c r="BE11" s="29" t="s">
        <v>93</v>
      </c>
      <c r="BF11" s="30" t="s">
        <v>94</v>
      </c>
      <c r="BG11" s="30" t="s">
        <v>95</v>
      </c>
      <c r="BH11" s="30" t="s">
        <v>96</v>
      </c>
      <c r="BI11" s="31" t="s">
        <v>97</v>
      </c>
      <c r="BJ11" s="32" t="s">
        <v>98</v>
      </c>
      <c r="BK11" s="32" t="s">
        <v>98</v>
      </c>
      <c r="BL11" s="221"/>
      <c r="BM11" s="222"/>
      <c r="BN11" s="221"/>
      <c r="BO11" s="222"/>
      <c r="BP11" s="221"/>
      <c r="BQ11" s="222"/>
      <c r="BR11" s="221"/>
      <c r="BS11" s="222"/>
      <c r="BT11" s="221"/>
      <c r="BU11" s="222"/>
      <c r="BV11" s="221"/>
      <c r="BW11" s="222"/>
      <c r="BX11" s="221"/>
      <c r="BY11" s="222"/>
      <c r="BZ11" s="221"/>
      <c r="CA11" s="222"/>
      <c r="CB11" s="221"/>
      <c r="CC11" s="222"/>
      <c r="CD11" s="221"/>
      <c r="CE11" s="222"/>
      <c r="CF11" s="221"/>
      <c r="CG11" s="222"/>
      <c r="CH11" s="8">
        <v>9</v>
      </c>
    </row>
    <row r="12" spans="1:86" ht="36" customHeight="1" thickBot="1" x14ac:dyDescent="0.3">
      <c r="A12" s="8">
        <v>10</v>
      </c>
      <c r="B12" s="200"/>
      <c r="C12" s="209"/>
      <c r="D12" s="210"/>
      <c r="E12" s="209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0"/>
      <c r="W12" s="200"/>
      <c r="X12" s="225"/>
      <c r="Y12" s="226"/>
      <c r="Z12" s="225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/>
      <c r="AP12" s="228"/>
      <c r="AQ12" s="228"/>
      <c r="AR12" s="228"/>
      <c r="AS12" s="228"/>
      <c r="AT12" s="228"/>
      <c r="AU12" s="228"/>
      <c r="AV12" s="228"/>
      <c r="AW12" s="228"/>
      <c r="AX12" s="228"/>
      <c r="AY12" s="228"/>
      <c r="AZ12" s="228"/>
      <c r="BA12" s="226"/>
      <c r="BB12" s="225"/>
      <c r="BC12" s="226"/>
      <c r="BD12" s="229" t="s">
        <v>82</v>
      </c>
      <c r="BE12" s="33" t="s">
        <v>99</v>
      </c>
      <c r="BF12" s="34" t="s">
        <v>100</v>
      </c>
      <c r="BG12" s="34" t="s">
        <v>101</v>
      </c>
      <c r="BH12" s="34" t="s">
        <v>102</v>
      </c>
      <c r="BI12" s="34" t="s">
        <v>103</v>
      </c>
      <c r="BJ12" s="34" t="s">
        <v>104</v>
      </c>
      <c r="BK12" s="231" t="s">
        <v>105</v>
      </c>
      <c r="BL12" s="231"/>
      <c r="BM12" s="231" t="s">
        <v>106</v>
      </c>
      <c r="BN12" s="231"/>
      <c r="BO12" s="34" t="s">
        <v>107</v>
      </c>
      <c r="BP12" s="35" t="s">
        <v>108</v>
      </c>
      <c r="BQ12" s="32" t="s">
        <v>98</v>
      </c>
      <c r="BR12" s="32" t="s">
        <v>98</v>
      </c>
      <c r="BS12" s="237" t="s">
        <v>82</v>
      </c>
      <c r="BT12" s="36" t="s">
        <v>99</v>
      </c>
      <c r="BU12" s="37" t="s">
        <v>100</v>
      </c>
      <c r="BV12" s="37" t="s">
        <v>101</v>
      </c>
      <c r="BW12" s="37" t="s">
        <v>102</v>
      </c>
      <c r="BX12" s="37" t="s">
        <v>103</v>
      </c>
      <c r="BY12" s="37" t="s">
        <v>104</v>
      </c>
      <c r="BZ12" s="239" t="s">
        <v>105</v>
      </c>
      <c r="CA12" s="239"/>
      <c r="CB12" s="239" t="s">
        <v>106</v>
      </c>
      <c r="CC12" s="239"/>
      <c r="CD12" s="37" t="s">
        <v>107</v>
      </c>
      <c r="CE12" s="38" t="s">
        <v>108</v>
      </c>
      <c r="CF12" s="32" t="s">
        <v>98</v>
      </c>
      <c r="CG12" s="32" t="s">
        <v>98</v>
      </c>
      <c r="CH12" s="8">
        <v>10</v>
      </c>
    </row>
    <row r="13" spans="1:86" ht="36" customHeight="1" thickBot="1" x14ac:dyDescent="0.3">
      <c r="A13" s="8">
        <v>11</v>
      </c>
      <c r="B13" s="200"/>
      <c r="C13" s="39" t="s">
        <v>85</v>
      </c>
      <c r="D13" s="40" t="s">
        <v>87</v>
      </c>
      <c r="E13" s="39" t="s">
        <v>85</v>
      </c>
      <c r="F13" s="41" t="s">
        <v>87</v>
      </c>
      <c r="G13" s="39" t="s">
        <v>85</v>
      </c>
      <c r="H13" s="41" t="s">
        <v>87</v>
      </c>
      <c r="I13" s="39" t="s">
        <v>85</v>
      </c>
      <c r="J13" s="41" t="s">
        <v>87</v>
      </c>
      <c r="K13" s="39" t="s">
        <v>85</v>
      </c>
      <c r="L13" s="41" t="s">
        <v>87</v>
      </c>
      <c r="M13" s="39" t="s">
        <v>85</v>
      </c>
      <c r="N13" s="41" t="s">
        <v>87</v>
      </c>
      <c r="O13" s="39" t="s">
        <v>85</v>
      </c>
      <c r="P13" s="41" t="s">
        <v>87</v>
      </c>
      <c r="Q13" s="39" t="s">
        <v>85</v>
      </c>
      <c r="R13" s="42" t="s">
        <v>87</v>
      </c>
      <c r="S13" s="39" t="s">
        <v>85</v>
      </c>
      <c r="T13" s="41" t="s">
        <v>87</v>
      </c>
      <c r="U13" s="39" t="s">
        <v>85</v>
      </c>
      <c r="V13" s="42" t="s">
        <v>87</v>
      </c>
      <c r="W13" s="200"/>
      <c r="X13" s="43" t="s">
        <v>85</v>
      </c>
      <c r="Y13" s="44" t="s">
        <v>87</v>
      </c>
      <c r="Z13" s="43" t="s">
        <v>85</v>
      </c>
      <c r="AA13" s="44" t="s">
        <v>87</v>
      </c>
      <c r="AB13" s="43" t="s">
        <v>85</v>
      </c>
      <c r="AC13" s="44" t="s">
        <v>87</v>
      </c>
      <c r="AD13" s="43" t="s">
        <v>85</v>
      </c>
      <c r="AE13" s="44" t="s">
        <v>87</v>
      </c>
      <c r="AF13" s="43" t="s">
        <v>85</v>
      </c>
      <c r="AG13" s="44" t="s">
        <v>87</v>
      </c>
      <c r="AH13" s="43" t="s">
        <v>85</v>
      </c>
      <c r="AI13" s="44" t="s">
        <v>87</v>
      </c>
      <c r="AJ13" s="43" t="s">
        <v>85</v>
      </c>
      <c r="AK13" s="44" t="s">
        <v>87</v>
      </c>
      <c r="AL13" s="43" t="s">
        <v>85</v>
      </c>
      <c r="AM13" s="44" t="s">
        <v>87</v>
      </c>
      <c r="AN13" s="43" t="s">
        <v>85</v>
      </c>
      <c r="AO13" s="44" t="s">
        <v>87</v>
      </c>
      <c r="AP13" s="43" t="s">
        <v>85</v>
      </c>
      <c r="AQ13" s="44" t="s">
        <v>87</v>
      </c>
      <c r="AR13" s="43" t="s">
        <v>85</v>
      </c>
      <c r="AS13" s="44" t="s">
        <v>87</v>
      </c>
      <c r="AT13" s="43" t="s">
        <v>85</v>
      </c>
      <c r="AU13" s="44" t="s">
        <v>87</v>
      </c>
      <c r="AV13" s="43" t="s">
        <v>85</v>
      </c>
      <c r="AW13" s="44" t="s">
        <v>87</v>
      </c>
      <c r="AX13" s="43" t="s">
        <v>85</v>
      </c>
      <c r="AY13" s="44" t="s">
        <v>87</v>
      </c>
      <c r="AZ13" s="43" t="s">
        <v>85</v>
      </c>
      <c r="BA13" s="44" t="s">
        <v>87</v>
      </c>
      <c r="BB13" s="43" t="s">
        <v>85</v>
      </c>
      <c r="BC13" s="44" t="s">
        <v>87</v>
      </c>
      <c r="BD13" s="230"/>
      <c r="BE13" s="45" t="s">
        <v>109</v>
      </c>
      <c r="BF13" s="46" t="s">
        <v>110</v>
      </c>
      <c r="BG13" s="46" t="s">
        <v>111</v>
      </c>
      <c r="BH13" s="46" t="s">
        <v>112</v>
      </c>
      <c r="BI13" s="46" t="s">
        <v>113</v>
      </c>
      <c r="BJ13" s="46" t="s">
        <v>114</v>
      </c>
      <c r="BK13" s="232"/>
      <c r="BL13" s="232"/>
      <c r="BM13" s="232"/>
      <c r="BN13" s="232"/>
      <c r="BO13" s="46" t="s">
        <v>115</v>
      </c>
      <c r="BP13" s="47" t="s">
        <v>116</v>
      </c>
      <c r="BQ13" s="32" t="s">
        <v>98</v>
      </c>
      <c r="BR13" s="32" t="s">
        <v>98</v>
      </c>
      <c r="BS13" s="238"/>
      <c r="BT13" s="48" t="s">
        <v>109</v>
      </c>
      <c r="BU13" s="49" t="s">
        <v>110</v>
      </c>
      <c r="BV13" s="49" t="s">
        <v>111</v>
      </c>
      <c r="BW13" s="49" t="s">
        <v>112</v>
      </c>
      <c r="BX13" s="50" t="s">
        <v>113</v>
      </c>
      <c r="BY13" s="50" t="s">
        <v>114</v>
      </c>
      <c r="BZ13" s="240"/>
      <c r="CA13" s="240"/>
      <c r="CB13" s="240"/>
      <c r="CC13" s="240"/>
      <c r="CD13" s="50" t="s">
        <v>115</v>
      </c>
      <c r="CE13" s="51" t="s">
        <v>116</v>
      </c>
      <c r="CF13" s="32" t="s">
        <v>98</v>
      </c>
      <c r="CG13" s="32" t="s">
        <v>98</v>
      </c>
      <c r="CH13" s="8">
        <v>11</v>
      </c>
    </row>
    <row r="14" spans="1:86" ht="36" customHeight="1" thickBot="1" x14ac:dyDescent="0.3">
      <c r="A14" s="8">
        <v>12</v>
      </c>
      <c r="B14" s="200"/>
      <c r="C14" s="219" t="s">
        <v>88</v>
      </c>
      <c r="D14" s="220"/>
      <c r="E14" s="219" t="s">
        <v>88</v>
      </c>
      <c r="F14" s="220"/>
      <c r="G14" s="219" t="s">
        <v>88</v>
      </c>
      <c r="H14" s="220"/>
      <c r="I14" s="219" t="s">
        <v>88</v>
      </c>
      <c r="J14" s="220"/>
      <c r="K14" s="219" t="s">
        <v>88</v>
      </c>
      <c r="L14" s="220"/>
      <c r="M14" s="219" t="s">
        <v>88</v>
      </c>
      <c r="N14" s="220"/>
      <c r="O14" s="219" t="s">
        <v>88</v>
      </c>
      <c r="P14" s="220"/>
      <c r="Q14" s="219" t="s">
        <v>88</v>
      </c>
      <c r="R14" s="220"/>
      <c r="S14" s="219" t="s">
        <v>88</v>
      </c>
      <c r="T14" s="220"/>
      <c r="U14" s="219" t="s">
        <v>88</v>
      </c>
      <c r="V14" s="220"/>
      <c r="W14" s="200"/>
      <c r="X14" s="233" t="s">
        <v>88</v>
      </c>
      <c r="Y14" s="234"/>
      <c r="Z14" s="233" t="s">
        <v>88</v>
      </c>
      <c r="AA14" s="234"/>
      <c r="AB14" s="233" t="s">
        <v>88</v>
      </c>
      <c r="AC14" s="234"/>
      <c r="AD14" s="233" t="s">
        <v>88</v>
      </c>
      <c r="AE14" s="234"/>
      <c r="AF14" s="233" t="s">
        <v>88</v>
      </c>
      <c r="AG14" s="234"/>
      <c r="AH14" s="233" t="s">
        <v>88</v>
      </c>
      <c r="AI14" s="234"/>
      <c r="AJ14" s="233" t="s">
        <v>88</v>
      </c>
      <c r="AK14" s="234"/>
      <c r="AL14" s="233" t="s">
        <v>88</v>
      </c>
      <c r="AM14" s="234"/>
      <c r="AN14" s="233" t="s">
        <v>88</v>
      </c>
      <c r="AO14" s="234"/>
      <c r="AP14" s="233" t="s">
        <v>88</v>
      </c>
      <c r="AQ14" s="234"/>
      <c r="AR14" s="233" t="s">
        <v>88</v>
      </c>
      <c r="AS14" s="234"/>
      <c r="AT14" s="233" t="s">
        <v>88</v>
      </c>
      <c r="AU14" s="234"/>
      <c r="AV14" s="233" t="s">
        <v>88</v>
      </c>
      <c r="AW14" s="234"/>
      <c r="AX14" s="233" t="s">
        <v>88</v>
      </c>
      <c r="AY14" s="234"/>
      <c r="AZ14" s="233" t="s">
        <v>88</v>
      </c>
      <c r="BA14" s="234"/>
      <c r="BB14" s="233" t="s">
        <v>88</v>
      </c>
      <c r="BC14" s="234"/>
      <c r="BD14" s="52" t="s">
        <v>117</v>
      </c>
      <c r="BE14" s="53"/>
      <c r="BF14" s="53"/>
      <c r="BG14" s="53"/>
      <c r="BH14" s="54"/>
      <c r="BI14" s="54"/>
      <c r="BJ14" s="54"/>
      <c r="BK14" s="54"/>
      <c r="BL14" s="54"/>
      <c r="BM14" s="53"/>
      <c r="BN14" s="55"/>
      <c r="BO14" s="55"/>
      <c r="BP14" s="55"/>
      <c r="BQ14" s="55"/>
      <c r="BR14" s="55"/>
      <c r="BS14" s="264" t="s">
        <v>82</v>
      </c>
      <c r="BT14" s="56" t="s">
        <v>99</v>
      </c>
      <c r="BU14" s="57" t="s">
        <v>100</v>
      </c>
      <c r="BV14" s="57" t="s">
        <v>101</v>
      </c>
      <c r="BW14" s="57" t="s">
        <v>102</v>
      </c>
      <c r="BX14" s="57" t="s">
        <v>103</v>
      </c>
      <c r="BY14" s="57" t="s">
        <v>104</v>
      </c>
      <c r="BZ14" s="266" t="s">
        <v>105</v>
      </c>
      <c r="CA14" s="266"/>
      <c r="CB14" s="266" t="s">
        <v>106</v>
      </c>
      <c r="CC14" s="266"/>
      <c r="CD14" s="57" t="s">
        <v>107</v>
      </c>
      <c r="CE14" s="58" t="s">
        <v>108</v>
      </c>
      <c r="CF14" s="32" t="s">
        <v>98</v>
      </c>
      <c r="CG14" s="32" t="s">
        <v>98</v>
      </c>
      <c r="CH14" s="8">
        <v>12</v>
      </c>
    </row>
    <row r="15" spans="1:86" ht="36" customHeight="1" thickBot="1" x14ac:dyDescent="0.3">
      <c r="A15" s="8">
        <v>13</v>
      </c>
      <c r="B15" s="200"/>
      <c r="C15" s="221"/>
      <c r="D15" s="222"/>
      <c r="E15" s="221"/>
      <c r="F15" s="222"/>
      <c r="G15" s="221"/>
      <c r="H15" s="222"/>
      <c r="I15" s="221"/>
      <c r="J15" s="222"/>
      <c r="K15" s="221"/>
      <c r="L15" s="222"/>
      <c r="M15" s="221"/>
      <c r="N15" s="222"/>
      <c r="O15" s="221"/>
      <c r="P15" s="222"/>
      <c r="Q15" s="221"/>
      <c r="R15" s="222"/>
      <c r="S15" s="221"/>
      <c r="T15" s="222"/>
      <c r="U15" s="221"/>
      <c r="V15" s="222"/>
      <c r="W15" s="200"/>
      <c r="X15" s="235"/>
      <c r="Y15" s="236"/>
      <c r="Z15" s="235"/>
      <c r="AA15" s="236"/>
      <c r="AB15" s="235"/>
      <c r="AC15" s="236"/>
      <c r="AD15" s="235"/>
      <c r="AE15" s="236"/>
      <c r="AF15" s="235"/>
      <c r="AG15" s="236"/>
      <c r="AH15" s="235"/>
      <c r="AI15" s="236"/>
      <c r="AJ15" s="235"/>
      <c r="AK15" s="236"/>
      <c r="AL15" s="235"/>
      <c r="AM15" s="236"/>
      <c r="AN15" s="235"/>
      <c r="AO15" s="236"/>
      <c r="AP15" s="235"/>
      <c r="AQ15" s="236"/>
      <c r="AR15" s="233"/>
      <c r="AS15" s="234"/>
      <c r="AT15" s="233"/>
      <c r="AU15" s="234"/>
      <c r="AV15" s="233"/>
      <c r="AW15" s="234"/>
      <c r="AX15" s="233"/>
      <c r="AY15" s="234"/>
      <c r="AZ15" s="233"/>
      <c r="BA15" s="234"/>
      <c r="BB15" s="233"/>
      <c r="BC15" s="234"/>
      <c r="BD15" s="59" t="s">
        <v>118</v>
      </c>
      <c r="BE15" s="53" t="s">
        <v>119</v>
      </c>
      <c r="BF15" s="53" t="s">
        <v>120</v>
      </c>
      <c r="BG15" s="53" t="s">
        <v>121</v>
      </c>
      <c r="BH15" s="54"/>
      <c r="BI15" s="54"/>
      <c r="BJ15" s="54"/>
      <c r="BK15" s="54"/>
      <c r="BL15" s="54"/>
      <c r="BM15" s="53"/>
      <c r="BN15" s="55"/>
      <c r="BO15" s="55"/>
      <c r="BP15" s="55"/>
      <c r="BQ15" s="55"/>
      <c r="BR15" s="55"/>
      <c r="BS15" s="265"/>
      <c r="BT15" s="60" t="s">
        <v>109</v>
      </c>
      <c r="BU15" s="61" t="s">
        <v>110</v>
      </c>
      <c r="BV15" s="61" t="s">
        <v>111</v>
      </c>
      <c r="BW15" s="61" t="s">
        <v>112</v>
      </c>
      <c r="BX15" s="61" t="s">
        <v>113</v>
      </c>
      <c r="BY15" s="61" t="s">
        <v>114</v>
      </c>
      <c r="BZ15" s="267"/>
      <c r="CA15" s="267"/>
      <c r="CB15" s="267"/>
      <c r="CC15" s="267"/>
      <c r="CD15" s="61" t="s">
        <v>115</v>
      </c>
      <c r="CE15" s="62" t="s">
        <v>116</v>
      </c>
      <c r="CF15" s="63" t="s">
        <v>98</v>
      </c>
      <c r="CG15" s="63" t="s">
        <v>98</v>
      </c>
      <c r="CH15" s="8">
        <v>13</v>
      </c>
    </row>
    <row r="16" spans="1:86" ht="36" customHeight="1" thickBot="1" x14ac:dyDescent="0.3">
      <c r="A16" s="8">
        <v>14</v>
      </c>
      <c r="B16" s="200" t="s">
        <v>82</v>
      </c>
      <c r="C16" s="281" t="s">
        <v>72</v>
      </c>
      <c r="D16" s="282"/>
      <c r="E16" s="281" t="s">
        <v>122</v>
      </c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2"/>
      <c r="W16" s="200" t="s">
        <v>82</v>
      </c>
      <c r="X16" s="241" t="s">
        <v>72</v>
      </c>
      <c r="Y16" s="242"/>
      <c r="Z16" s="241" t="s">
        <v>123</v>
      </c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7" t="s">
        <v>82</v>
      </c>
      <c r="AS16" s="248" t="s">
        <v>124</v>
      </c>
      <c r="AT16" s="249"/>
      <c r="AU16" s="249" t="s">
        <v>105</v>
      </c>
      <c r="AV16" s="249"/>
      <c r="AW16" s="249" t="s">
        <v>106</v>
      </c>
      <c r="AX16" s="249"/>
      <c r="AY16" s="64" t="s">
        <v>98</v>
      </c>
      <c r="AZ16" s="65" t="s">
        <v>125</v>
      </c>
      <c r="BA16" s="65" t="s">
        <v>126</v>
      </c>
      <c r="BB16" s="65" t="s">
        <v>127</v>
      </c>
      <c r="BC16" s="66" t="s">
        <v>128</v>
      </c>
      <c r="BD16" s="67" t="s">
        <v>129</v>
      </c>
      <c r="BE16" s="65" t="s">
        <v>130</v>
      </c>
      <c r="BF16" s="65" t="s">
        <v>131</v>
      </c>
      <c r="BG16" s="65" t="s">
        <v>132</v>
      </c>
      <c r="BH16" s="65" t="s">
        <v>133</v>
      </c>
      <c r="BI16" s="68" t="s">
        <v>134</v>
      </c>
      <c r="BJ16" s="68" t="s">
        <v>135</v>
      </c>
      <c r="BK16" s="69" t="s">
        <v>136</v>
      </c>
      <c r="BL16" s="64" t="s">
        <v>98</v>
      </c>
      <c r="BM16" s="70" t="s">
        <v>82</v>
      </c>
      <c r="BN16" s="252" t="s">
        <v>137</v>
      </c>
      <c r="BO16" s="253"/>
      <c r="BP16" s="253"/>
      <c r="BQ16" s="253"/>
      <c r="BR16" s="253"/>
      <c r="BS16" s="253"/>
      <c r="BT16" s="253"/>
      <c r="BU16" s="253"/>
      <c r="BV16" s="253"/>
      <c r="BW16" s="253"/>
      <c r="BX16" s="253"/>
      <c r="BY16" s="253"/>
      <c r="BZ16" s="253"/>
      <c r="CA16" s="253"/>
      <c r="CB16" s="253"/>
      <c r="CC16" s="253"/>
      <c r="CD16" s="253"/>
      <c r="CE16" s="253"/>
      <c r="CF16" s="253"/>
      <c r="CG16" s="254"/>
      <c r="CH16" s="8">
        <v>14</v>
      </c>
    </row>
    <row r="17" spans="1:86" ht="36" customHeight="1" thickBot="1" x14ac:dyDescent="0.3">
      <c r="A17" s="8">
        <v>15</v>
      </c>
      <c r="B17" s="200"/>
      <c r="C17" s="283"/>
      <c r="D17" s="284"/>
      <c r="E17" s="283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4"/>
      <c r="W17" s="200"/>
      <c r="X17" s="243"/>
      <c r="Y17" s="244"/>
      <c r="Z17" s="243"/>
      <c r="AA17" s="246"/>
      <c r="AB17" s="246"/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00"/>
      <c r="AS17" s="250"/>
      <c r="AT17" s="251"/>
      <c r="AU17" s="251"/>
      <c r="AV17" s="251"/>
      <c r="AW17" s="251"/>
      <c r="AX17" s="251"/>
      <c r="AY17" s="68" t="s">
        <v>138</v>
      </c>
      <c r="AZ17" s="68" t="s">
        <v>139</v>
      </c>
      <c r="BA17" s="68" t="s">
        <v>140</v>
      </c>
      <c r="BB17" s="68" t="s">
        <v>141</v>
      </c>
      <c r="BC17" s="66" t="s">
        <v>142</v>
      </c>
      <c r="BD17" s="71" t="s">
        <v>143</v>
      </c>
      <c r="BE17" s="65" t="s">
        <v>144</v>
      </c>
      <c r="BF17" s="65" t="s">
        <v>145</v>
      </c>
      <c r="BG17" s="65" t="s">
        <v>146</v>
      </c>
      <c r="BH17" s="65" t="s">
        <v>147</v>
      </c>
      <c r="BI17" s="68" t="s">
        <v>148</v>
      </c>
      <c r="BJ17" s="68" t="s">
        <v>149</v>
      </c>
      <c r="BK17" s="72" t="s">
        <v>98</v>
      </c>
      <c r="BL17" s="72" t="s">
        <v>98</v>
      </c>
      <c r="BM17" s="200" t="s">
        <v>82</v>
      </c>
      <c r="BN17" s="255" t="s">
        <v>150</v>
      </c>
      <c r="BO17" s="256"/>
      <c r="BP17" s="256"/>
      <c r="BQ17" s="256"/>
      <c r="BR17" s="256"/>
      <c r="BS17" s="256"/>
      <c r="BT17" s="256"/>
      <c r="BU17" s="256"/>
      <c r="BV17" s="256"/>
      <c r="BW17" s="256"/>
      <c r="BX17" s="256"/>
      <c r="BY17" s="256"/>
      <c r="BZ17" s="256"/>
      <c r="CA17" s="256"/>
      <c r="CB17" s="256"/>
      <c r="CC17" s="256"/>
      <c r="CD17" s="256"/>
      <c r="CE17" s="256"/>
      <c r="CF17" s="256"/>
      <c r="CG17" s="257"/>
      <c r="CH17" s="8">
        <v>15</v>
      </c>
    </row>
    <row r="18" spans="1:86" ht="36" customHeight="1" thickBot="1" x14ac:dyDescent="0.3">
      <c r="A18" s="8">
        <v>16</v>
      </c>
      <c r="B18" s="200"/>
      <c r="C18" s="73" t="s">
        <v>85</v>
      </c>
      <c r="D18" s="74" t="s">
        <v>87</v>
      </c>
      <c r="E18" s="73" t="s">
        <v>85</v>
      </c>
      <c r="F18" s="75" t="s">
        <v>87</v>
      </c>
      <c r="G18" s="73" t="s">
        <v>85</v>
      </c>
      <c r="H18" s="75" t="s">
        <v>87</v>
      </c>
      <c r="I18" s="73" t="s">
        <v>85</v>
      </c>
      <c r="J18" s="75" t="s">
        <v>87</v>
      </c>
      <c r="K18" s="73" t="s">
        <v>85</v>
      </c>
      <c r="L18" s="75" t="s">
        <v>87</v>
      </c>
      <c r="M18" s="73" t="s">
        <v>85</v>
      </c>
      <c r="N18" s="75" t="s">
        <v>87</v>
      </c>
      <c r="O18" s="73" t="s">
        <v>85</v>
      </c>
      <c r="P18" s="75" t="s">
        <v>87</v>
      </c>
      <c r="Q18" s="73" t="s">
        <v>85</v>
      </c>
      <c r="R18" s="73" t="s">
        <v>87</v>
      </c>
      <c r="S18" s="73" t="s">
        <v>85</v>
      </c>
      <c r="T18" s="75" t="s">
        <v>87</v>
      </c>
      <c r="U18" s="73" t="s">
        <v>85</v>
      </c>
      <c r="V18" s="73" t="s">
        <v>87</v>
      </c>
      <c r="W18" s="200"/>
      <c r="X18" s="76" t="s">
        <v>85</v>
      </c>
      <c r="Y18" s="77" t="s">
        <v>87</v>
      </c>
      <c r="Z18" s="76" t="s">
        <v>85</v>
      </c>
      <c r="AA18" s="78" t="s">
        <v>87</v>
      </c>
      <c r="AB18" s="76" t="s">
        <v>85</v>
      </c>
      <c r="AC18" s="78" t="s">
        <v>87</v>
      </c>
      <c r="AD18" s="76" t="s">
        <v>85</v>
      </c>
      <c r="AE18" s="78" t="s">
        <v>87</v>
      </c>
      <c r="AF18" s="76" t="s">
        <v>85</v>
      </c>
      <c r="AG18" s="78" t="s">
        <v>87</v>
      </c>
      <c r="AH18" s="76" t="s">
        <v>85</v>
      </c>
      <c r="AI18" s="78" t="s">
        <v>87</v>
      </c>
      <c r="AJ18" s="76" t="s">
        <v>85</v>
      </c>
      <c r="AK18" s="78" t="s">
        <v>87</v>
      </c>
      <c r="AL18" s="76" t="s">
        <v>85</v>
      </c>
      <c r="AM18" s="76" t="s">
        <v>87</v>
      </c>
      <c r="AN18" s="76" t="s">
        <v>85</v>
      </c>
      <c r="AO18" s="78" t="s">
        <v>87</v>
      </c>
      <c r="AP18" s="76" t="s">
        <v>85</v>
      </c>
      <c r="AQ18" s="78" t="s">
        <v>87</v>
      </c>
      <c r="AR18" s="200"/>
      <c r="AS18" s="261" t="s">
        <v>151</v>
      </c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3"/>
      <c r="BM18" s="200"/>
      <c r="BN18" s="258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60"/>
      <c r="CH18" s="8">
        <v>16</v>
      </c>
    </row>
    <row r="19" spans="1:86" ht="36" customHeight="1" x14ac:dyDescent="0.25">
      <c r="A19" s="8">
        <v>17</v>
      </c>
      <c r="B19" s="200"/>
      <c r="C19" s="291" t="s">
        <v>88</v>
      </c>
      <c r="D19" s="292"/>
      <c r="E19" s="291" t="s">
        <v>88</v>
      </c>
      <c r="F19" s="292"/>
      <c r="G19" s="291" t="s">
        <v>88</v>
      </c>
      <c r="H19" s="292"/>
      <c r="I19" s="291" t="s">
        <v>88</v>
      </c>
      <c r="J19" s="292"/>
      <c r="K19" s="291" t="s">
        <v>88</v>
      </c>
      <c r="L19" s="292"/>
      <c r="M19" s="291" t="s">
        <v>88</v>
      </c>
      <c r="N19" s="292"/>
      <c r="O19" s="291" t="s">
        <v>88</v>
      </c>
      <c r="P19" s="292"/>
      <c r="Q19" s="291" t="s">
        <v>88</v>
      </c>
      <c r="R19" s="292"/>
      <c r="S19" s="291" t="s">
        <v>88</v>
      </c>
      <c r="T19" s="292"/>
      <c r="U19" s="291" t="s">
        <v>88</v>
      </c>
      <c r="V19" s="292"/>
      <c r="W19" s="200"/>
      <c r="X19" s="287" t="s">
        <v>88</v>
      </c>
      <c r="Y19" s="288"/>
      <c r="Z19" s="287" t="s">
        <v>88</v>
      </c>
      <c r="AA19" s="288"/>
      <c r="AB19" s="287" t="s">
        <v>88</v>
      </c>
      <c r="AC19" s="288"/>
      <c r="AD19" s="287" t="s">
        <v>88</v>
      </c>
      <c r="AE19" s="288"/>
      <c r="AF19" s="287" t="s">
        <v>88</v>
      </c>
      <c r="AG19" s="288"/>
      <c r="AH19" s="287" t="s">
        <v>88</v>
      </c>
      <c r="AI19" s="288"/>
      <c r="AJ19" s="287" t="s">
        <v>88</v>
      </c>
      <c r="AK19" s="288"/>
      <c r="AL19" s="287" t="s">
        <v>88</v>
      </c>
      <c r="AM19" s="288"/>
      <c r="AN19" s="287" t="s">
        <v>88</v>
      </c>
      <c r="AO19" s="288"/>
      <c r="AP19" s="287" t="s">
        <v>88</v>
      </c>
      <c r="AQ19" s="288"/>
      <c r="AR19" s="200" t="s">
        <v>82</v>
      </c>
      <c r="AS19" s="255" t="s">
        <v>152</v>
      </c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6"/>
      <c r="BL19" s="256"/>
      <c r="BM19" s="256"/>
      <c r="BN19" s="256"/>
      <c r="BO19" s="256"/>
      <c r="BP19" s="256"/>
      <c r="BQ19" s="256"/>
      <c r="BR19" s="256"/>
      <c r="BS19" s="256"/>
      <c r="BT19" s="256"/>
      <c r="BU19" s="256"/>
      <c r="BV19" s="256"/>
      <c r="BW19" s="256"/>
      <c r="BX19" s="256"/>
      <c r="BY19" s="256"/>
      <c r="BZ19" s="256"/>
      <c r="CA19" s="256"/>
      <c r="CB19" s="256"/>
      <c r="CC19" s="256"/>
      <c r="CD19" s="256"/>
      <c r="CE19" s="200" t="s">
        <v>82</v>
      </c>
      <c r="CF19" s="268" t="s">
        <v>153</v>
      </c>
      <c r="CG19" s="269"/>
      <c r="CH19" s="8">
        <v>17</v>
      </c>
    </row>
    <row r="20" spans="1:86" ht="36" customHeight="1" thickBot="1" x14ac:dyDescent="0.3">
      <c r="A20" s="8">
        <v>18</v>
      </c>
      <c r="B20" s="200"/>
      <c r="C20" s="293"/>
      <c r="D20" s="294"/>
      <c r="E20" s="293"/>
      <c r="F20" s="294"/>
      <c r="G20" s="293"/>
      <c r="H20" s="294"/>
      <c r="I20" s="293"/>
      <c r="J20" s="294"/>
      <c r="K20" s="293"/>
      <c r="L20" s="294"/>
      <c r="M20" s="293"/>
      <c r="N20" s="294"/>
      <c r="O20" s="293"/>
      <c r="P20" s="294"/>
      <c r="Q20" s="293"/>
      <c r="R20" s="294"/>
      <c r="S20" s="293"/>
      <c r="T20" s="294"/>
      <c r="U20" s="293"/>
      <c r="V20" s="294"/>
      <c r="W20" s="200"/>
      <c r="X20" s="289"/>
      <c r="Y20" s="290"/>
      <c r="Z20" s="289"/>
      <c r="AA20" s="290"/>
      <c r="AB20" s="289"/>
      <c r="AC20" s="290"/>
      <c r="AD20" s="289"/>
      <c r="AE20" s="290"/>
      <c r="AF20" s="289"/>
      <c r="AG20" s="290"/>
      <c r="AH20" s="289"/>
      <c r="AI20" s="290"/>
      <c r="AJ20" s="289"/>
      <c r="AK20" s="290"/>
      <c r="AL20" s="289"/>
      <c r="AM20" s="290"/>
      <c r="AN20" s="289"/>
      <c r="AO20" s="290"/>
      <c r="AP20" s="289"/>
      <c r="AQ20" s="290"/>
      <c r="AR20" s="200"/>
      <c r="AS20" s="258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00"/>
      <c r="CF20" s="270"/>
      <c r="CG20" s="271"/>
      <c r="CH20" s="8">
        <v>18</v>
      </c>
    </row>
    <row r="21" spans="1:86" ht="36" customHeight="1" x14ac:dyDescent="0.25">
      <c r="A21" s="8">
        <v>19</v>
      </c>
      <c r="B21" s="272" t="s">
        <v>82</v>
      </c>
      <c r="C21" s="274" t="s">
        <v>72</v>
      </c>
      <c r="D21" s="275"/>
      <c r="E21" s="274">
        <v>2</v>
      </c>
      <c r="F21" s="275"/>
      <c r="G21" s="274">
        <v>3</v>
      </c>
      <c r="H21" s="275"/>
      <c r="I21" s="274">
        <v>4</v>
      </c>
      <c r="J21" s="275"/>
      <c r="K21" s="274">
        <v>5</v>
      </c>
      <c r="L21" s="275"/>
      <c r="M21" s="274">
        <v>6</v>
      </c>
      <c r="N21" s="275"/>
      <c r="O21" s="274">
        <v>7</v>
      </c>
      <c r="P21" s="275"/>
      <c r="Q21" s="281" t="s">
        <v>72</v>
      </c>
      <c r="R21" s="282"/>
      <c r="S21" s="281">
        <v>2</v>
      </c>
      <c r="T21" s="282"/>
      <c r="U21" s="281">
        <v>3</v>
      </c>
      <c r="V21" s="282"/>
      <c r="W21" s="272" t="s">
        <v>82</v>
      </c>
      <c r="X21" s="274" t="s">
        <v>72</v>
      </c>
      <c r="Y21" s="275"/>
      <c r="Z21" s="274">
        <v>2</v>
      </c>
      <c r="AA21" s="275"/>
      <c r="AB21" s="274">
        <v>3</v>
      </c>
      <c r="AC21" s="275"/>
      <c r="AD21" s="274">
        <v>4</v>
      </c>
      <c r="AE21" s="275"/>
      <c r="AF21" s="274">
        <v>5</v>
      </c>
      <c r="AG21" s="275"/>
      <c r="AH21" s="274">
        <v>6</v>
      </c>
      <c r="AI21" s="275"/>
      <c r="AJ21" s="274">
        <v>7</v>
      </c>
      <c r="AK21" s="275"/>
      <c r="AL21" s="281" t="s">
        <v>72</v>
      </c>
      <c r="AM21" s="282"/>
      <c r="AN21" s="281">
        <v>2</v>
      </c>
      <c r="AO21" s="282"/>
      <c r="AP21" s="281">
        <v>3</v>
      </c>
      <c r="AQ21" s="282"/>
      <c r="AR21" s="272" t="s">
        <v>82</v>
      </c>
      <c r="AS21" s="274" t="s">
        <v>72</v>
      </c>
      <c r="AT21" s="275"/>
      <c r="AU21" s="274">
        <v>2</v>
      </c>
      <c r="AV21" s="275"/>
      <c r="AW21" s="274">
        <v>3</v>
      </c>
      <c r="AX21" s="275"/>
      <c r="AY21" s="274">
        <v>4</v>
      </c>
      <c r="AZ21" s="275"/>
      <c r="BA21" s="274">
        <v>5</v>
      </c>
      <c r="BB21" s="275"/>
      <c r="BC21" s="274">
        <v>6</v>
      </c>
      <c r="BD21" s="275"/>
      <c r="BE21" s="274">
        <v>7</v>
      </c>
      <c r="BF21" s="275"/>
      <c r="BG21" s="281" t="s">
        <v>72</v>
      </c>
      <c r="BH21" s="282"/>
      <c r="BI21" s="281">
        <v>2</v>
      </c>
      <c r="BJ21" s="282"/>
      <c r="BK21" s="281">
        <v>3</v>
      </c>
      <c r="BL21" s="282"/>
      <c r="BM21" s="272" t="s">
        <v>82</v>
      </c>
      <c r="BN21" s="274" t="s">
        <v>72</v>
      </c>
      <c r="BO21" s="275"/>
      <c r="BP21" s="274">
        <v>2</v>
      </c>
      <c r="BQ21" s="275"/>
      <c r="BR21" s="274">
        <v>3</v>
      </c>
      <c r="BS21" s="275"/>
      <c r="BT21" s="274">
        <v>4</v>
      </c>
      <c r="BU21" s="275"/>
      <c r="BV21" s="274">
        <v>5</v>
      </c>
      <c r="BW21" s="275"/>
      <c r="BX21" s="274">
        <v>6</v>
      </c>
      <c r="BY21" s="275"/>
      <c r="BZ21" s="274">
        <v>7</v>
      </c>
      <c r="CA21" s="275"/>
      <c r="CB21" s="281" t="s">
        <v>72</v>
      </c>
      <c r="CC21" s="282"/>
      <c r="CD21" s="281">
        <v>2</v>
      </c>
      <c r="CE21" s="282"/>
      <c r="CF21" s="281">
        <v>3</v>
      </c>
      <c r="CG21" s="282"/>
      <c r="CH21" s="8">
        <v>19</v>
      </c>
    </row>
    <row r="22" spans="1:86" ht="36" customHeight="1" thickBot="1" x14ac:dyDescent="0.3">
      <c r="A22" s="8">
        <v>20</v>
      </c>
      <c r="B22" s="272"/>
      <c r="C22" s="276"/>
      <c r="D22" s="277"/>
      <c r="E22" s="276"/>
      <c r="F22" s="277"/>
      <c r="G22" s="276"/>
      <c r="H22" s="277"/>
      <c r="I22" s="276"/>
      <c r="J22" s="277"/>
      <c r="K22" s="276"/>
      <c r="L22" s="277"/>
      <c r="M22" s="276"/>
      <c r="N22" s="277"/>
      <c r="O22" s="276"/>
      <c r="P22" s="277"/>
      <c r="Q22" s="283"/>
      <c r="R22" s="284"/>
      <c r="S22" s="283"/>
      <c r="T22" s="284"/>
      <c r="U22" s="283"/>
      <c r="V22" s="284"/>
      <c r="W22" s="272"/>
      <c r="X22" s="276"/>
      <c r="Y22" s="277"/>
      <c r="Z22" s="276"/>
      <c r="AA22" s="277"/>
      <c r="AB22" s="276"/>
      <c r="AC22" s="277"/>
      <c r="AD22" s="276"/>
      <c r="AE22" s="277"/>
      <c r="AF22" s="276"/>
      <c r="AG22" s="277"/>
      <c r="AH22" s="276"/>
      <c r="AI22" s="277"/>
      <c r="AJ22" s="276"/>
      <c r="AK22" s="277"/>
      <c r="AL22" s="283"/>
      <c r="AM22" s="284"/>
      <c r="AN22" s="283"/>
      <c r="AO22" s="284"/>
      <c r="AP22" s="283"/>
      <c r="AQ22" s="284"/>
      <c r="AR22" s="272"/>
      <c r="AS22" s="276"/>
      <c r="AT22" s="277"/>
      <c r="AU22" s="276"/>
      <c r="AV22" s="277"/>
      <c r="AW22" s="276"/>
      <c r="AX22" s="277"/>
      <c r="AY22" s="276"/>
      <c r="AZ22" s="277"/>
      <c r="BA22" s="276"/>
      <c r="BB22" s="277"/>
      <c r="BC22" s="276"/>
      <c r="BD22" s="277"/>
      <c r="BE22" s="276"/>
      <c r="BF22" s="277"/>
      <c r="BG22" s="283"/>
      <c r="BH22" s="284"/>
      <c r="BI22" s="283"/>
      <c r="BJ22" s="284"/>
      <c r="BK22" s="283"/>
      <c r="BL22" s="284"/>
      <c r="BM22" s="272"/>
      <c r="BN22" s="276"/>
      <c r="BO22" s="277"/>
      <c r="BP22" s="276"/>
      <c r="BQ22" s="277"/>
      <c r="BR22" s="276"/>
      <c r="BS22" s="277"/>
      <c r="BT22" s="276"/>
      <c r="BU22" s="277"/>
      <c r="BV22" s="276"/>
      <c r="BW22" s="277"/>
      <c r="BX22" s="276"/>
      <c r="BY22" s="277"/>
      <c r="BZ22" s="276"/>
      <c r="CA22" s="277"/>
      <c r="CB22" s="283"/>
      <c r="CC22" s="284"/>
      <c r="CD22" s="283"/>
      <c r="CE22" s="284"/>
      <c r="CF22" s="283"/>
      <c r="CG22" s="284"/>
      <c r="CH22" s="8">
        <v>20</v>
      </c>
    </row>
    <row r="23" spans="1:86" ht="36" customHeight="1" thickBot="1" x14ac:dyDescent="0.3">
      <c r="A23" s="8">
        <v>21</v>
      </c>
      <c r="B23" s="272"/>
      <c r="C23" s="79" t="s">
        <v>85</v>
      </c>
      <c r="D23" s="80" t="s">
        <v>87</v>
      </c>
      <c r="E23" s="79" t="s">
        <v>85</v>
      </c>
      <c r="F23" s="80" t="s">
        <v>87</v>
      </c>
      <c r="G23" s="79" t="s">
        <v>85</v>
      </c>
      <c r="H23" s="80" t="s">
        <v>87</v>
      </c>
      <c r="I23" s="79" t="s">
        <v>85</v>
      </c>
      <c r="J23" s="80" t="s">
        <v>87</v>
      </c>
      <c r="K23" s="79" t="s">
        <v>85</v>
      </c>
      <c r="L23" s="80" t="s">
        <v>87</v>
      </c>
      <c r="M23" s="79" t="s">
        <v>85</v>
      </c>
      <c r="N23" s="80" t="s">
        <v>87</v>
      </c>
      <c r="O23" s="79" t="s">
        <v>85</v>
      </c>
      <c r="P23" s="80" t="s">
        <v>87</v>
      </c>
      <c r="Q23" s="73" t="s">
        <v>85</v>
      </c>
      <c r="R23" s="74" t="s">
        <v>87</v>
      </c>
      <c r="S23" s="73" t="s">
        <v>85</v>
      </c>
      <c r="T23" s="74" t="s">
        <v>87</v>
      </c>
      <c r="U23" s="73" t="s">
        <v>85</v>
      </c>
      <c r="V23" s="74" t="s">
        <v>87</v>
      </c>
      <c r="W23" s="272"/>
      <c r="X23" s="79" t="s">
        <v>85</v>
      </c>
      <c r="Y23" s="80" t="s">
        <v>87</v>
      </c>
      <c r="Z23" s="79" t="s">
        <v>85</v>
      </c>
      <c r="AA23" s="80" t="s">
        <v>87</v>
      </c>
      <c r="AB23" s="79" t="s">
        <v>85</v>
      </c>
      <c r="AC23" s="80" t="s">
        <v>87</v>
      </c>
      <c r="AD23" s="79" t="s">
        <v>85</v>
      </c>
      <c r="AE23" s="80" t="s">
        <v>87</v>
      </c>
      <c r="AF23" s="79" t="s">
        <v>85</v>
      </c>
      <c r="AG23" s="80" t="s">
        <v>87</v>
      </c>
      <c r="AH23" s="79" t="s">
        <v>85</v>
      </c>
      <c r="AI23" s="80" t="s">
        <v>87</v>
      </c>
      <c r="AJ23" s="79" t="s">
        <v>85</v>
      </c>
      <c r="AK23" s="80" t="s">
        <v>87</v>
      </c>
      <c r="AL23" s="73" t="s">
        <v>85</v>
      </c>
      <c r="AM23" s="74" t="s">
        <v>87</v>
      </c>
      <c r="AN23" s="73" t="s">
        <v>85</v>
      </c>
      <c r="AO23" s="74" t="s">
        <v>87</v>
      </c>
      <c r="AP23" s="73" t="s">
        <v>85</v>
      </c>
      <c r="AQ23" s="74" t="s">
        <v>87</v>
      </c>
      <c r="AR23" s="272"/>
      <c r="AS23" s="79" t="s">
        <v>85</v>
      </c>
      <c r="AT23" s="80" t="s">
        <v>87</v>
      </c>
      <c r="AU23" s="79" t="s">
        <v>85</v>
      </c>
      <c r="AV23" s="80" t="s">
        <v>87</v>
      </c>
      <c r="AW23" s="79" t="s">
        <v>85</v>
      </c>
      <c r="AX23" s="80" t="s">
        <v>87</v>
      </c>
      <c r="AY23" s="79" t="s">
        <v>85</v>
      </c>
      <c r="AZ23" s="80" t="s">
        <v>87</v>
      </c>
      <c r="BA23" s="79" t="s">
        <v>85</v>
      </c>
      <c r="BB23" s="80" t="s">
        <v>87</v>
      </c>
      <c r="BC23" s="79" t="s">
        <v>85</v>
      </c>
      <c r="BD23" s="80" t="s">
        <v>87</v>
      </c>
      <c r="BE23" s="79" t="s">
        <v>85</v>
      </c>
      <c r="BF23" s="80" t="s">
        <v>87</v>
      </c>
      <c r="BG23" s="73" t="s">
        <v>85</v>
      </c>
      <c r="BH23" s="74" t="s">
        <v>87</v>
      </c>
      <c r="BI23" s="73" t="s">
        <v>85</v>
      </c>
      <c r="BJ23" s="74" t="s">
        <v>87</v>
      </c>
      <c r="BK23" s="73" t="s">
        <v>85</v>
      </c>
      <c r="BL23" s="74" t="s">
        <v>87</v>
      </c>
      <c r="BM23" s="272"/>
      <c r="BN23" s="79" t="s">
        <v>85</v>
      </c>
      <c r="BO23" s="80" t="s">
        <v>87</v>
      </c>
      <c r="BP23" s="79" t="s">
        <v>85</v>
      </c>
      <c r="BQ23" s="80" t="s">
        <v>87</v>
      </c>
      <c r="BR23" s="79" t="s">
        <v>85</v>
      </c>
      <c r="BS23" s="80" t="s">
        <v>87</v>
      </c>
      <c r="BT23" s="79" t="s">
        <v>85</v>
      </c>
      <c r="BU23" s="80" t="s">
        <v>87</v>
      </c>
      <c r="BV23" s="79" t="s">
        <v>85</v>
      </c>
      <c r="BW23" s="80" t="s">
        <v>87</v>
      </c>
      <c r="BX23" s="79" t="s">
        <v>85</v>
      </c>
      <c r="BY23" s="80" t="s">
        <v>87</v>
      </c>
      <c r="BZ23" s="79" t="s">
        <v>85</v>
      </c>
      <c r="CA23" s="80" t="s">
        <v>87</v>
      </c>
      <c r="CB23" s="73" t="s">
        <v>85</v>
      </c>
      <c r="CC23" s="74" t="s">
        <v>87</v>
      </c>
      <c r="CD23" s="73" t="s">
        <v>85</v>
      </c>
      <c r="CE23" s="74" t="s">
        <v>87</v>
      </c>
      <c r="CF23" s="73" t="s">
        <v>85</v>
      </c>
      <c r="CG23" s="74" t="s">
        <v>87</v>
      </c>
      <c r="CH23" s="8">
        <v>21</v>
      </c>
    </row>
    <row r="24" spans="1:86" ht="36" customHeight="1" x14ac:dyDescent="0.25">
      <c r="A24" s="8">
        <v>22</v>
      </c>
      <c r="B24" s="272"/>
      <c r="C24" s="295" t="s">
        <v>88</v>
      </c>
      <c r="D24" s="296"/>
      <c r="E24" s="295" t="s">
        <v>88</v>
      </c>
      <c r="F24" s="296"/>
      <c r="G24" s="295" t="s">
        <v>88</v>
      </c>
      <c r="H24" s="296"/>
      <c r="I24" s="295" t="s">
        <v>88</v>
      </c>
      <c r="J24" s="296"/>
      <c r="K24" s="295" t="s">
        <v>88</v>
      </c>
      <c r="L24" s="296"/>
      <c r="M24" s="295" t="s">
        <v>88</v>
      </c>
      <c r="N24" s="296"/>
      <c r="O24" s="295" t="s">
        <v>88</v>
      </c>
      <c r="P24" s="296"/>
      <c r="Q24" s="291" t="s">
        <v>88</v>
      </c>
      <c r="R24" s="292"/>
      <c r="S24" s="291" t="s">
        <v>88</v>
      </c>
      <c r="T24" s="292"/>
      <c r="U24" s="291" t="s">
        <v>88</v>
      </c>
      <c r="V24" s="292"/>
      <c r="W24" s="272"/>
      <c r="X24" s="295" t="s">
        <v>88</v>
      </c>
      <c r="Y24" s="296"/>
      <c r="Z24" s="295" t="s">
        <v>88</v>
      </c>
      <c r="AA24" s="296"/>
      <c r="AB24" s="295" t="s">
        <v>88</v>
      </c>
      <c r="AC24" s="296"/>
      <c r="AD24" s="295" t="s">
        <v>88</v>
      </c>
      <c r="AE24" s="296"/>
      <c r="AF24" s="295" t="s">
        <v>88</v>
      </c>
      <c r="AG24" s="296"/>
      <c r="AH24" s="295" t="s">
        <v>88</v>
      </c>
      <c r="AI24" s="296"/>
      <c r="AJ24" s="295" t="s">
        <v>88</v>
      </c>
      <c r="AK24" s="296"/>
      <c r="AL24" s="291" t="s">
        <v>88</v>
      </c>
      <c r="AM24" s="292"/>
      <c r="AN24" s="291" t="s">
        <v>88</v>
      </c>
      <c r="AO24" s="292"/>
      <c r="AP24" s="291" t="s">
        <v>88</v>
      </c>
      <c r="AQ24" s="292"/>
      <c r="AR24" s="272"/>
      <c r="AS24" s="295" t="s">
        <v>88</v>
      </c>
      <c r="AT24" s="296"/>
      <c r="AU24" s="295" t="s">
        <v>88</v>
      </c>
      <c r="AV24" s="296"/>
      <c r="AW24" s="295" t="s">
        <v>88</v>
      </c>
      <c r="AX24" s="296"/>
      <c r="AY24" s="295" t="s">
        <v>88</v>
      </c>
      <c r="AZ24" s="296"/>
      <c r="BA24" s="295" t="s">
        <v>88</v>
      </c>
      <c r="BB24" s="296"/>
      <c r="BC24" s="295" t="s">
        <v>88</v>
      </c>
      <c r="BD24" s="296"/>
      <c r="BE24" s="295" t="s">
        <v>88</v>
      </c>
      <c r="BF24" s="296"/>
      <c r="BG24" s="291" t="s">
        <v>88</v>
      </c>
      <c r="BH24" s="292"/>
      <c r="BI24" s="291" t="s">
        <v>88</v>
      </c>
      <c r="BJ24" s="292"/>
      <c r="BK24" s="291" t="s">
        <v>88</v>
      </c>
      <c r="BL24" s="292"/>
      <c r="BM24" s="272"/>
      <c r="BN24" s="295" t="s">
        <v>88</v>
      </c>
      <c r="BO24" s="296"/>
      <c r="BP24" s="295" t="s">
        <v>88</v>
      </c>
      <c r="BQ24" s="296"/>
      <c r="BR24" s="295" t="s">
        <v>88</v>
      </c>
      <c r="BS24" s="296"/>
      <c r="BT24" s="295" t="s">
        <v>88</v>
      </c>
      <c r="BU24" s="296"/>
      <c r="BV24" s="295" t="s">
        <v>88</v>
      </c>
      <c r="BW24" s="296"/>
      <c r="BX24" s="295" t="s">
        <v>88</v>
      </c>
      <c r="BY24" s="296"/>
      <c r="BZ24" s="295" t="s">
        <v>88</v>
      </c>
      <c r="CA24" s="296"/>
      <c r="CB24" s="291" t="s">
        <v>88</v>
      </c>
      <c r="CC24" s="292"/>
      <c r="CD24" s="291" t="s">
        <v>88</v>
      </c>
      <c r="CE24" s="292"/>
      <c r="CF24" s="291" t="s">
        <v>88</v>
      </c>
      <c r="CG24" s="292"/>
      <c r="CH24" s="8">
        <v>22</v>
      </c>
    </row>
    <row r="25" spans="1:86" ht="36" customHeight="1" thickBot="1" x14ac:dyDescent="0.3">
      <c r="A25" s="8">
        <v>23</v>
      </c>
      <c r="B25" s="272"/>
      <c r="C25" s="297"/>
      <c r="D25" s="298"/>
      <c r="E25" s="297"/>
      <c r="F25" s="298"/>
      <c r="G25" s="297"/>
      <c r="H25" s="298"/>
      <c r="I25" s="297"/>
      <c r="J25" s="298"/>
      <c r="K25" s="297"/>
      <c r="L25" s="298"/>
      <c r="M25" s="297"/>
      <c r="N25" s="298"/>
      <c r="O25" s="297"/>
      <c r="P25" s="298"/>
      <c r="Q25" s="293"/>
      <c r="R25" s="294"/>
      <c r="S25" s="293"/>
      <c r="T25" s="294"/>
      <c r="U25" s="293"/>
      <c r="V25" s="294"/>
      <c r="W25" s="272"/>
      <c r="X25" s="297"/>
      <c r="Y25" s="298"/>
      <c r="Z25" s="297"/>
      <c r="AA25" s="298"/>
      <c r="AB25" s="297"/>
      <c r="AC25" s="298"/>
      <c r="AD25" s="297"/>
      <c r="AE25" s="298"/>
      <c r="AF25" s="297"/>
      <c r="AG25" s="298"/>
      <c r="AH25" s="297"/>
      <c r="AI25" s="298"/>
      <c r="AJ25" s="297"/>
      <c r="AK25" s="298"/>
      <c r="AL25" s="293"/>
      <c r="AM25" s="294"/>
      <c r="AN25" s="293"/>
      <c r="AO25" s="294"/>
      <c r="AP25" s="293"/>
      <c r="AQ25" s="294"/>
      <c r="AR25" s="272"/>
      <c r="AS25" s="297"/>
      <c r="AT25" s="298"/>
      <c r="AU25" s="297"/>
      <c r="AV25" s="298"/>
      <c r="AW25" s="297"/>
      <c r="AX25" s="298"/>
      <c r="AY25" s="297"/>
      <c r="AZ25" s="298"/>
      <c r="BA25" s="297"/>
      <c r="BB25" s="298"/>
      <c r="BC25" s="297"/>
      <c r="BD25" s="298"/>
      <c r="BE25" s="297"/>
      <c r="BF25" s="298"/>
      <c r="BG25" s="293"/>
      <c r="BH25" s="294"/>
      <c r="BI25" s="293"/>
      <c r="BJ25" s="294"/>
      <c r="BK25" s="293"/>
      <c r="BL25" s="294"/>
      <c r="BM25" s="272"/>
      <c r="BN25" s="297"/>
      <c r="BO25" s="298"/>
      <c r="BP25" s="297"/>
      <c r="BQ25" s="298"/>
      <c r="BR25" s="297"/>
      <c r="BS25" s="298"/>
      <c r="BT25" s="297"/>
      <c r="BU25" s="298"/>
      <c r="BV25" s="297"/>
      <c r="BW25" s="298"/>
      <c r="BX25" s="297"/>
      <c r="BY25" s="298"/>
      <c r="BZ25" s="297"/>
      <c r="CA25" s="298"/>
      <c r="CB25" s="293"/>
      <c r="CC25" s="294"/>
      <c r="CD25" s="293"/>
      <c r="CE25" s="294"/>
      <c r="CF25" s="293"/>
      <c r="CG25" s="294"/>
      <c r="CH25" s="8">
        <v>23</v>
      </c>
    </row>
    <row r="26" spans="1:86" ht="36" customHeight="1" thickBot="1" x14ac:dyDescent="0.3">
      <c r="A26" s="8">
        <v>24</v>
      </c>
      <c r="B26" s="272"/>
      <c r="C26" s="278"/>
      <c r="D26" s="279"/>
      <c r="E26" s="279"/>
      <c r="F26" s="279"/>
      <c r="G26" s="279"/>
      <c r="H26" s="279"/>
      <c r="I26" s="279"/>
      <c r="J26" s="279"/>
      <c r="K26" s="279"/>
      <c r="L26" s="280"/>
      <c r="M26" s="299" t="s">
        <v>82</v>
      </c>
      <c r="N26" s="81" t="s">
        <v>99</v>
      </c>
      <c r="O26" s="81" t="s">
        <v>100</v>
      </c>
      <c r="P26" s="81" t="s">
        <v>101</v>
      </c>
      <c r="Q26" s="81" t="s">
        <v>102</v>
      </c>
      <c r="R26" s="81" t="s">
        <v>103</v>
      </c>
      <c r="S26" s="81" t="s">
        <v>104</v>
      </c>
      <c r="T26" s="81" t="s">
        <v>128</v>
      </c>
      <c r="U26" s="69" t="s">
        <v>136</v>
      </c>
      <c r="V26" s="64" t="s">
        <v>98</v>
      </c>
      <c r="W26" s="272"/>
      <c r="X26" s="278"/>
      <c r="Y26" s="279"/>
      <c r="Z26" s="279"/>
      <c r="AA26" s="279"/>
      <c r="AB26" s="279"/>
      <c r="AC26" s="279"/>
      <c r="AD26" s="279"/>
      <c r="AE26" s="279"/>
      <c r="AF26" s="279"/>
      <c r="AG26" s="280"/>
      <c r="AH26" s="299" t="s">
        <v>82</v>
      </c>
      <c r="AI26" s="81" t="s">
        <v>99</v>
      </c>
      <c r="AJ26" s="81" t="s">
        <v>100</v>
      </c>
      <c r="AK26" s="81" t="s">
        <v>101</v>
      </c>
      <c r="AL26" s="81" t="s">
        <v>102</v>
      </c>
      <c r="AM26" s="81" t="s">
        <v>103</v>
      </c>
      <c r="AN26" s="81" t="s">
        <v>104</v>
      </c>
      <c r="AO26" s="81" t="s">
        <v>128</v>
      </c>
      <c r="AP26" s="69" t="s">
        <v>136</v>
      </c>
      <c r="AQ26" s="64" t="s">
        <v>98</v>
      </c>
      <c r="AR26" s="272"/>
      <c r="AS26" s="278"/>
      <c r="AT26" s="279"/>
      <c r="AU26" s="279"/>
      <c r="AV26" s="279"/>
      <c r="AW26" s="279"/>
      <c r="AX26" s="279"/>
      <c r="AY26" s="279"/>
      <c r="AZ26" s="279"/>
      <c r="BA26" s="279"/>
      <c r="BB26" s="280"/>
      <c r="BC26" s="299" t="s">
        <v>82</v>
      </c>
      <c r="BD26" s="81" t="s">
        <v>99</v>
      </c>
      <c r="BE26" s="81" t="s">
        <v>100</v>
      </c>
      <c r="BF26" s="81" t="s">
        <v>101</v>
      </c>
      <c r="BG26" s="81" t="s">
        <v>102</v>
      </c>
      <c r="BH26" s="81" t="s">
        <v>103</v>
      </c>
      <c r="BI26" s="81" t="s">
        <v>104</v>
      </c>
      <c r="BJ26" s="81" t="s">
        <v>128</v>
      </c>
      <c r="BK26" s="69" t="s">
        <v>136</v>
      </c>
      <c r="BL26" s="64" t="s">
        <v>98</v>
      </c>
      <c r="BM26" s="272"/>
      <c r="BN26" s="278"/>
      <c r="BO26" s="279"/>
      <c r="BP26" s="279"/>
      <c r="BQ26" s="279"/>
      <c r="BR26" s="279"/>
      <c r="BS26" s="279"/>
      <c r="BT26" s="279"/>
      <c r="BU26" s="279"/>
      <c r="BV26" s="279"/>
      <c r="BW26" s="280"/>
      <c r="BX26" s="299" t="s">
        <v>82</v>
      </c>
      <c r="BY26" s="81" t="s">
        <v>99</v>
      </c>
      <c r="BZ26" s="81" t="s">
        <v>100</v>
      </c>
      <c r="CA26" s="81" t="s">
        <v>101</v>
      </c>
      <c r="CB26" s="81" t="s">
        <v>102</v>
      </c>
      <c r="CC26" s="81" t="s">
        <v>103</v>
      </c>
      <c r="CD26" s="81" t="s">
        <v>104</v>
      </c>
      <c r="CE26" s="81" t="s">
        <v>128</v>
      </c>
      <c r="CF26" s="69" t="s">
        <v>136</v>
      </c>
      <c r="CG26" s="64" t="s">
        <v>98</v>
      </c>
      <c r="CH26" s="8">
        <v>24</v>
      </c>
    </row>
    <row r="27" spans="1:86" ht="36" customHeight="1" thickBot="1" x14ac:dyDescent="0.3">
      <c r="A27" s="8">
        <v>25</v>
      </c>
      <c r="B27" s="273"/>
      <c r="C27" s="278"/>
      <c r="D27" s="279"/>
      <c r="E27" s="279"/>
      <c r="F27" s="279"/>
      <c r="G27" s="279"/>
      <c r="H27" s="279"/>
      <c r="I27" s="279"/>
      <c r="J27" s="279"/>
      <c r="K27" s="279"/>
      <c r="L27" s="280"/>
      <c r="M27" s="300"/>
      <c r="N27" s="81" t="s">
        <v>109</v>
      </c>
      <c r="O27" s="81" t="s">
        <v>110</v>
      </c>
      <c r="P27" s="81" t="s">
        <v>111</v>
      </c>
      <c r="Q27" s="81" t="s">
        <v>112</v>
      </c>
      <c r="R27" s="81" t="s">
        <v>113</v>
      </c>
      <c r="S27" s="81" t="s">
        <v>114</v>
      </c>
      <c r="T27" s="81" t="s">
        <v>142</v>
      </c>
      <c r="U27" s="64" t="s">
        <v>98</v>
      </c>
      <c r="V27" s="64" t="s">
        <v>98</v>
      </c>
      <c r="W27" s="273"/>
      <c r="X27" s="278"/>
      <c r="Y27" s="279"/>
      <c r="Z27" s="279"/>
      <c r="AA27" s="279"/>
      <c r="AB27" s="279"/>
      <c r="AC27" s="279"/>
      <c r="AD27" s="279"/>
      <c r="AE27" s="279"/>
      <c r="AF27" s="279"/>
      <c r="AG27" s="280"/>
      <c r="AH27" s="300"/>
      <c r="AI27" s="81" t="s">
        <v>109</v>
      </c>
      <c r="AJ27" s="81" t="s">
        <v>110</v>
      </c>
      <c r="AK27" s="81" t="s">
        <v>111</v>
      </c>
      <c r="AL27" s="81" t="s">
        <v>112</v>
      </c>
      <c r="AM27" s="81" t="s">
        <v>113</v>
      </c>
      <c r="AN27" s="81" t="s">
        <v>114</v>
      </c>
      <c r="AO27" s="81" t="s">
        <v>142</v>
      </c>
      <c r="AP27" s="64" t="s">
        <v>98</v>
      </c>
      <c r="AQ27" s="64" t="s">
        <v>98</v>
      </c>
      <c r="AR27" s="273"/>
      <c r="AS27" s="278"/>
      <c r="AT27" s="279"/>
      <c r="AU27" s="279"/>
      <c r="AV27" s="279"/>
      <c r="AW27" s="279"/>
      <c r="AX27" s="279"/>
      <c r="AY27" s="279"/>
      <c r="AZ27" s="279"/>
      <c r="BA27" s="279"/>
      <c r="BB27" s="280"/>
      <c r="BC27" s="300"/>
      <c r="BD27" s="81" t="s">
        <v>109</v>
      </c>
      <c r="BE27" s="81" t="s">
        <v>110</v>
      </c>
      <c r="BF27" s="81" t="s">
        <v>111</v>
      </c>
      <c r="BG27" s="81" t="s">
        <v>112</v>
      </c>
      <c r="BH27" s="81" t="s">
        <v>113</v>
      </c>
      <c r="BI27" s="81" t="s">
        <v>114</v>
      </c>
      <c r="BJ27" s="81" t="s">
        <v>142</v>
      </c>
      <c r="BK27" s="64" t="s">
        <v>98</v>
      </c>
      <c r="BL27" s="64" t="s">
        <v>98</v>
      </c>
      <c r="BM27" s="273"/>
      <c r="BN27" s="278"/>
      <c r="BO27" s="279"/>
      <c r="BP27" s="279"/>
      <c r="BQ27" s="279"/>
      <c r="BR27" s="279"/>
      <c r="BS27" s="279"/>
      <c r="BT27" s="279"/>
      <c r="BU27" s="279"/>
      <c r="BV27" s="279"/>
      <c r="BW27" s="280"/>
      <c r="BX27" s="300"/>
      <c r="BY27" s="81" t="s">
        <v>109</v>
      </c>
      <c r="BZ27" s="81" t="s">
        <v>110</v>
      </c>
      <c r="CA27" s="81" t="s">
        <v>111</v>
      </c>
      <c r="CB27" s="81" t="s">
        <v>112</v>
      </c>
      <c r="CC27" s="81" t="s">
        <v>113</v>
      </c>
      <c r="CD27" s="81" t="s">
        <v>114</v>
      </c>
      <c r="CE27" s="81" t="s">
        <v>142</v>
      </c>
      <c r="CF27" s="64" t="s">
        <v>98</v>
      </c>
      <c r="CG27" s="64" t="s">
        <v>98</v>
      </c>
      <c r="CH27" s="8">
        <v>25</v>
      </c>
    </row>
    <row r="28" spans="1:86" ht="36" customHeight="1" x14ac:dyDescent="0.25">
      <c r="A28" s="8">
        <v>26</v>
      </c>
      <c r="B28" s="200" t="s">
        <v>82</v>
      </c>
      <c r="C28" s="255">
        <v>1</v>
      </c>
      <c r="D28" s="257"/>
      <c r="E28" s="255">
        <v>2</v>
      </c>
      <c r="F28" s="257"/>
      <c r="G28" s="255">
        <v>3</v>
      </c>
      <c r="H28" s="257"/>
      <c r="I28" s="255">
        <v>4</v>
      </c>
      <c r="J28" s="257"/>
      <c r="K28" s="255">
        <v>5</v>
      </c>
      <c r="L28" s="257"/>
      <c r="M28" s="255">
        <v>6</v>
      </c>
      <c r="N28" s="257"/>
      <c r="O28" s="255">
        <v>7</v>
      </c>
      <c r="P28" s="257"/>
      <c r="Q28" s="255">
        <v>8</v>
      </c>
      <c r="R28" s="257"/>
      <c r="S28" s="255">
        <v>9</v>
      </c>
      <c r="T28" s="257"/>
      <c r="U28" s="255">
        <v>10</v>
      </c>
      <c r="V28" s="257"/>
      <c r="W28" s="200" t="s">
        <v>82</v>
      </c>
      <c r="X28" s="255">
        <v>1</v>
      </c>
      <c r="Y28" s="257"/>
      <c r="Z28" s="255">
        <v>2</v>
      </c>
      <c r="AA28" s="257"/>
      <c r="AB28" s="255">
        <v>3</v>
      </c>
      <c r="AC28" s="257"/>
      <c r="AD28" s="255">
        <v>4</v>
      </c>
      <c r="AE28" s="257"/>
      <c r="AF28" s="255">
        <v>5</v>
      </c>
      <c r="AG28" s="257"/>
      <c r="AH28" s="255">
        <v>6</v>
      </c>
      <c r="AI28" s="257"/>
      <c r="AJ28" s="255">
        <v>7</v>
      </c>
      <c r="AK28" s="257"/>
      <c r="AL28" s="255">
        <v>8</v>
      </c>
      <c r="AM28" s="257"/>
      <c r="AN28" s="255">
        <v>9</v>
      </c>
      <c r="AO28" s="257"/>
      <c r="AP28" s="255">
        <v>10</v>
      </c>
      <c r="AQ28" s="257"/>
      <c r="AR28" s="200" t="s">
        <v>82</v>
      </c>
      <c r="AS28" s="255" t="s">
        <v>154</v>
      </c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  <c r="BK28" s="256"/>
      <c r="BL28" s="257"/>
      <c r="BM28" s="200" t="s">
        <v>82</v>
      </c>
      <c r="BN28" s="205" t="s">
        <v>155</v>
      </c>
      <c r="BO28" s="205"/>
      <c r="BP28" s="82" t="s">
        <v>156</v>
      </c>
      <c r="BQ28" s="82" t="s">
        <v>157</v>
      </c>
      <c r="BR28" s="83">
        <v>1</v>
      </c>
      <c r="BS28" s="83">
        <v>2</v>
      </c>
      <c r="BT28" s="83">
        <v>3</v>
      </c>
      <c r="BU28" s="83">
        <v>4</v>
      </c>
      <c r="BV28" s="83">
        <v>5</v>
      </c>
      <c r="BW28" s="83">
        <v>6</v>
      </c>
      <c r="BX28" s="83">
        <v>7</v>
      </c>
      <c r="BY28" s="83">
        <v>8</v>
      </c>
      <c r="BZ28" s="83">
        <v>9</v>
      </c>
      <c r="CA28" s="83">
        <v>10</v>
      </c>
      <c r="CB28" s="83">
        <v>11</v>
      </c>
      <c r="CC28" s="83">
        <v>12</v>
      </c>
      <c r="CD28" s="82" t="s">
        <v>156</v>
      </c>
      <c r="CE28" s="82" t="s">
        <v>157</v>
      </c>
      <c r="CF28" s="12"/>
      <c r="CG28" s="13"/>
      <c r="CH28" s="8">
        <v>26</v>
      </c>
    </row>
    <row r="29" spans="1:86" ht="36" customHeight="1" thickBot="1" x14ac:dyDescent="0.3">
      <c r="A29" s="8">
        <v>27</v>
      </c>
      <c r="B29" s="200"/>
      <c r="C29" s="258"/>
      <c r="D29" s="260"/>
      <c r="E29" s="258"/>
      <c r="F29" s="260"/>
      <c r="G29" s="258"/>
      <c r="H29" s="260"/>
      <c r="I29" s="258"/>
      <c r="J29" s="260"/>
      <c r="K29" s="258"/>
      <c r="L29" s="260"/>
      <c r="M29" s="258"/>
      <c r="N29" s="260"/>
      <c r="O29" s="258"/>
      <c r="P29" s="260"/>
      <c r="Q29" s="258"/>
      <c r="R29" s="260"/>
      <c r="S29" s="258"/>
      <c r="T29" s="260"/>
      <c r="U29" s="258"/>
      <c r="V29" s="260"/>
      <c r="W29" s="200"/>
      <c r="X29" s="258"/>
      <c r="Y29" s="260"/>
      <c r="Z29" s="258"/>
      <c r="AA29" s="260"/>
      <c r="AB29" s="258"/>
      <c r="AC29" s="260"/>
      <c r="AD29" s="258"/>
      <c r="AE29" s="260"/>
      <c r="AF29" s="258"/>
      <c r="AG29" s="260"/>
      <c r="AH29" s="258"/>
      <c r="AI29" s="260"/>
      <c r="AJ29" s="258"/>
      <c r="AK29" s="260"/>
      <c r="AL29" s="258"/>
      <c r="AM29" s="260"/>
      <c r="AN29" s="258"/>
      <c r="AO29" s="260"/>
      <c r="AP29" s="258"/>
      <c r="AQ29" s="260"/>
      <c r="AR29" s="200"/>
      <c r="AS29" s="258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60"/>
      <c r="BM29" s="200"/>
      <c r="BN29" s="301"/>
      <c r="BO29" s="301"/>
      <c r="BP29" s="84"/>
      <c r="BQ29" s="70"/>
      <c r="BR29" s="85" t="s">
        <v>158</v>
      </c>
      <c r="BS29" s="70"/>
      <c r="BT29" s="85" t="s">
        <v>159</v>
      </c>
      <c r="BU29" s="70"/>
      <c r="BV29" s="85" t="s">
        <v>160</v>
      </c>
      <c r="BW29" s="70"/>
      <c r="BX29" s="85" t="s">
        <v>161</v>
      </c>
      <c r="BY29" s="70"/>
      <c r="BZ29" s="85" t="s">
        <v>162</v>
      </c>
      <c r="CA29" s="70"/>
      <c r="CB29" s="85" t="s">
        <v>163</v>
      </c>
      <c r="CC29" s="70"/>
      <c r="CD29" s="84"/>
      <c r="CE29" s="70"/>
      <c r="CF29" s="13"/>
      <c r="CG29" s="12"/>
      <c r="CH29" s="8">
        <v>27</v>
      </c>
    </row>
    <row r="30" spans="1:86" ht="36" customHeight="1" x14ac:dyDescent="0.25">
      <c r="A30" s="8">
        <v>28</v>
      </c>
      <c r="B30" s="6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8">
        <v>28</v>
      </c>
    </row>
    <row r="32" spans="1:86" ht="36" customHeight="1" x14ac:dyDescent="0.25">
      <c r="W32" s="86">
        <v>55</v>
      </c>
      <c r="X32" s="86">
        <v>56</v>
      </c>
      <c r="Y32" s="86">
        <v>57</v>
      </c>
      <c r="Z32" s="86">
        <v>58</v>
      </c>
      <c r="AA32" s="86">
        <v>59</v>
      </c>
      <c r="AB32" s="86">
        <v>60</v>
      </c>
      <c r="AC32" s="86">
        <v>61</v>
      </c>
      <c r="AD32" s="86">
        <v>62</v>
      </c>
      <c r="AE32" s="86">
        <v>63</v>
      </c>
      <c r="AF32" s="86">
        <v>64</v>
      </c>
      <c r="AG32" s="86">
        <v>65</v>
      </c>
      <c r="AH32" s="86">
        <v>66</v>
      </c>
      <c r="AI32" s="86">
        <v>67</v>
      </c>
      <c r="AJ32" s="86">
        <v>68</v>
      </c>
      <c r="AT32" s="86">
        <v>55</v>
      </c>
      <c r="AU32" s="86">
        <v>56</v>
      </c>
      <c r="AV32" s="86">
        <v>57</v>
      </c>
      <c r="AW32" s="86">
        <v>58</v>
      </c>
      <c r="AX32" s="86">
        <v>59</v>
      </c>
      <c r="AY32" s="86">
        <v>60</v>
      </c>
      <c r="AZ32" s="86">
        <v>61</v>
      </c>
      <c r="BA32" s="86">
        <v>62</v>
      </c>
      <c r="BB32" s="86">
        <v>63</v>
      </c>
      <c r="BC32" s="86">
        <v>64</v>
      </c>
      <c r="BD32" s="86">
        <v>65</v>
      </c>
      <c r="BE32" s="86">
        <v>66</v>
      </c>
      <c r="BF32" s="86">
        <v>67</v>
      </c>
      <c r="BG32" s="86">
        <v>68</v>
      </c>
    </row>
    <row r="33" spans="18:107" ht="36" customHeight="1" thickBot="1" x14ac:dyDescent="0.3">
      <c r="W33" s="302" t="s">
        <v>118</v>
      </c>
      <c r="X33" s="302"/>
      <c r="Y33" s="302"/>
      <c r="Z33" s="302"/>
      <c r="AA33" s="302"/>
      <c r="AB33" s="302"/>
      <c r="AC33" s="302"/>
      <c r="AD33" s="302"/>
      <c r="AE33" s="302"/>
      <c r="AF33" s="302"/>
      <c r="AG33" s="302"/>
      <c r="AH33" s="302"/>
      <c r="AI33" s="302"/>
      <c r="AJ33" s="302"/>
      <c r="AT33" s="303" t="s">
        <v>117</v>
      </c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</row>
    <row r="34" spans="18:107" ht="36" customHeight="1" thickBot="1" x14ac:dyDescent="0.3">
      <c r="R34" s="86">
        <v>13</v>
      </c>
      <c r="S34" s="304" t="s">
        <v>164</v>
      </c>
      <c r="T34" s="304"/>
      <c r="U34" s="304"/>
      <c r="V34" s="305"/>
      <c r="W34" s="87" t="s">
        <v>165</v>
      </c>
      <c r="X34" s="87"/>
      <c r="Y34" s="87"/>
      <c r="Z34" s="88"/>
      <c r="AA34" s="88"/>
      <c r="AB34" s="88"/>
      <c r="AC34" s="88"/>
      <c r="AD34" s="88"/>
      <c r="AE34" s="87"/>
      <c r="AF34" s="89"/>
      <c r="AG34" s="89"/>
      <c r="AH34" s="89"/>
      <c r="AI34" s="89"/>
      <c r="AJ34" s="89"/>
      <c r="AO34" s="86">
        <v>12</v>
      </c>
      <c r="AP34" s="304" t="s">
        <v>166</v>
      </c>
      <c r="AQ34" s="304"/>
      <c r="AR34" s="304"/>
      <c r="AS34" s="305"/>
      <c r="AT34" s="87" t="s">
        <v>167</v>
      </c>
      <c r="AU34" s="87" t="s">
        <v>168</v>
      </c>
      <c r="AV34" s="87" t="s">
        <v>169</v>
      </c>
      <c r="AW34" s="87" t="s">
        <v>170</v>
      </c>
      <c r="AX34" s="87" t="s">
        <v>171</v>
      </c>
      <c r="AY34" s="88" t="s">
        <v>172</v>
      </c>
      <c r="AZ34" s="88"/>
      <c r="BA34" s="88"/>
      <c r="BB34" s="87"/>
      <c r="BC34" s="89"/>
      <c r="BD34" s="89"/>
      <c r="BE34" s="89"/>
      <c r="BF34" s="89"/>
      <c r="BG34" s="89"/>
      <c r="CJ34" s="306">
        <v>11</v>
      </c>
      <c r="CK34" s="307"/>
      <c r="CL34" s="306">
        <v>12</v>
      </c>
      <c r="CM34" s="307"/>
      <c r="CN34" s="306">
        <v>13</v>
      </c>
      <c r="CO34" s="307"/>
      <c r="CP34" s="306">
        <v>14</v>
      </c>
      <c r="CQ34" s="307"/>
      <c r="CR34" s="306">
        <v>15</v>
      </c>
      <c r="CS34" s="307"/>
      <c r="CT34" s="306">
        <v>16</v>
      </c>
      <c r="CU34" s="307"/>
      <c r="CV34" s="306">
        <v>17</v>
      </c>
      <c r="CW34" s="307"/>
      <c r="CX34" s="306">
        <v>18</v>
      </c>
      <c r="CY34" s="307"/>
      <c r="CZ34" s="306">
        <v>19</v>
      </c>
      <c r="DA34" s="307"/>
      <c r="DB34" s="306">
        <v>20</v>
      </c>
      <c r="DC34" s="307"/>
    </row>
    <row r="35" spans="18:107" ht="36" customHeight="1" thickBot="1" x14ac:dyDescent="0.3">
      <c r="R35" s="86">
        <v>13</v>
      </c>
      <c r="S35" s="310" t="s">
        <v>173</v>
      </c>
      <c r="T35" s="310"/>
      <c r="U35" s="310"/>
      <c r="V35" s="311"/>
      <c r="W35" s="87" t="s">
        <v>174</v>
      </c>
      <c r="X35" s="87"/>
      <c r="Y35" s="87"/>
      <c r="Z35" s="88"/>
      <c r="AA35" s="88"/>
      <c r="AB35" s="88"/>
      <c r="AC35" s="88"/>
      <c r="AD35" s="88"/>
      <c r="AE35" s="87"/>
      <c r="AF35" s="89"/>
      <c r="AG35" s="89"/>
      <c r="AH35" s="89"/>
      <c r="AI35" s="89"/>
      <c r="AJ35" s="89"/>
      <c r="AO35" s="86">
        <v>12</v>
      </c>
      <c r="AP35" s="310" t="s">
        <v>175</v>
      </c>
      <c r="AQ35" s="310"/>
      <c r="AR35" s="310"/>
      <c r="AS35" s="311"/>
      <c r="AT35" s="90" t="s">
        <v>176</v>
      </c>
      <c r="AU35" s="90" t="s">
        <v>177</v>
      </c>
      <c r="AV35" s="90" t="s">
        <v>178</v>
      </c>
      <c r="AW35" s="90" t="s">
        <v>179</v>
      </c>
      <c r="AX35" s="90" t="s">
        <v>180</v>
      </c>
      <c r="AY35" s="90"/>
      <c r="AZ35" s="90"/>
      <c r="BA35" s="90" t="s">
        <v>181</v>
      </c>
      <c r="BB35" s="90" t="s">
        <v>182</v>
      </c>
      <c r="BC35" s="90" t="s">
        <v>183</v>
      </c>
      <c r="BD35" s="90" t="s">
        <v>184</v>
      </c>
      <c r="BE35" s="90"/>
      <c r="BF35" s="90"/>
      <c r="BG35" s="90"/>
      <c r="CJ35" s="308"/>
      <c r="CK35" s="309"/>
      <c r="CL35" s="308"/>
      <c r="CM35" s="309"/>
      <c r="CN35" s="308"/>
      <c r="CO35" s="309"/>
      <c r="CP35" s="308"/>
      <c r="CQ35" s="309"/>
      <c r="CR35" s="308"/>
      <c r="CS35" s="309"/>
      <c r="CT35" s="308"/>
      <c r="CU35" s="309"/>
      <c r="CV35" s="308"/>
      <c r="CW35" s="309"/>
      <c r="CX35" s="308"/>
      <c r="CY35" s="309"/>
      <c r="CZ35" s="308"/>
      <c r="DA35" s="309"/>
      <c r="DB35" s="308"/>
      <c r="DC35" s="309"/>
    </row>
    <row r="36" spans="18:107" ht="36" customHeight="1" thickBot="1" x14ac:dyDescent="0.3">
      <c r="R36" s="86">
        <v>13</v>
      </c>
      <c r="S36" s="310" t="s">
        <v>185</v>
      </c>
      <c r="T36" s="310"/>
      <c r="U36" s="310"/>
      <c r="V36" s="311"/>
      <c r="W36" s="87" t="s">
        <v>186</v>
      </c>
      <c r="X36" s="87"/>
      <c r="Y36" s="87"/>
      <c r="Z36" s="88"/>
      <c r="AA36" s="88"/>
      <c r="AB36" s="88"/>
      <c r="AC36" s="88"/>
      <c r="AD36" s="88"/>
      <c r="AE36" s="87"/>
      <c r="AF36" s="89"/>
      <c r="AG36" s="89"/>
      <c r="AH36" s="89"/>
      <c r="AI36" s="89"/>
      <c r="AJ36" s="89"/>
      <c r="AO36" s="86">
        <v>12</v>
      </c>
      <c r="AP36" s="310" t="s">
        <v>187</v>
      </c>
      <c r="AQ36" s="310"/>
      <c r="AR36" s="310"/>
      <c r="AS36" s="311"/>
      <c r="AT36" s="91" t="s">
        <v>188</v>
      </c>
      <c r="AU36" s="91" t="s">
        <v>189</v>
      </c>
      <c r="AV36" s="91" t="s">
        <v>190</v>
      </c>
      <c r="AW36" s="91" t="s">
        <v>191</v>
      </c>
      <c r="AX36" s="91" t="s">
        <v>192</v>
      </c>
      <c r="AY36" s="91" t="s">
        <v>193</v>
      </c>
      <c r="AZ36" s="92" t="s">
        <v>194</v>
      </c>
      <c r="BA36" s="91" t="s">
        <v>195</v>
      </c>
      <c r="BB36" s="91" t="s">
        <v>196</v>
      </c>
      <c r="BC36" s="91" t="s">
        <v>197</v>
      </c>
      <c r="BD36" s="92" t="s">
        <v>198</v>
      </c>
      <c r="BE36" s="91" t="s">
        <v>199</v>
      </c>
      <c r="BF36" s="91" t="s">
        <v>200</v>
      </c>
      <c r="BG36" s="91" t="s">
        <v>201</v>
      </c>
    </row>
    <row r="37" spans="18:107" ht="36" customHeight="1" thickBot="1" x14ac:dyDescent="0.3">
      <c r="V37" s="93"/>
      <c r="W37" s="87"/>
      <c r="X37" s="87"/>
      <c r="Y37" s="87"/>
      <c r="Z37" s="88"/>
      <c r="AA37" s="88"/>
      <c r="AB37" s="88"/>
      <c r="AC37" s="88"/>
      <c r="AD37" s="88"/>
      <c r="AE37" s="87"/>
      <c r="AF37" s="89"/>
      <c r="AG37" s="89"/>
      <c r="AH37" s="89"/>
      <c r="AI37" s="89"/>
      <c r="AJ37" s="89"/>
      <c r="AS37" s="93"/>
      <c r="AT37" s="87"/>
      <c r="AU37" s="87"/>
      <c r="AV37" s="87"/>
      <c r="AW37" s="88"/>
      <c r="AX37" s="88"/>
      <c r="AY37" s="88"/>
      <c r="AZ37" s="88"/>
      <c r="BA37" s="88"/>
      <c r="BB37" s="87"/>
      <c r="BC37" s="89"/>
      <c r="BD37" s="89"/>
      <c r="BE37" s="89"/>
      <c r="BF37" s="89"/>
      <c r="BG37" s="89"/>
    </row>
    <row r="38" spans="18:107" ht="36" customHeight="1" thickBot="1" x14ac:dyDescent="0.3">
      <c r="V38" s="93"/>
      <c r="W38" s="87"/>
      <c r="X38" s="87"/>
      <c r="Y38" s="87"/>
      <c r="Z38" s="88"/>
      <c r="AA38" s="88"/>
      <c r="AB38" s="88"/>
      <c r="AC38" s="88"/>
      <c r="AD38" s="88"/>
      <c r="AE38" s="87"/>
      <c r="AF38" s="89"/>
      <c r="AG38" s="89"/>
      <c r="AH38" s="89"/>
      <c r="AI38" s="89"/>
      <c r="AJ38" s="89"/>
      <c r="AS38" s="93"/>
      <c r="AT38" s="87"/>
      <c r="AU38" s="87"/>
      <c r="AV38" s="87"/>
      <c r="AW38" s="88"/>
      <c r="AX38" s="88"/>
      <c r="AY38" s="88"/>
      <c r="AZ38" s="88"/>
      <c r="BA38" s="88"/>
      <c r="BB38" s="87"/>
      <c r="BC38" s="89"/>
      <c r="BD38" s="89"/>
      <c r="BE38" s="89"/>
      <c r="BF38" s="89"/>
      <c r="BG38" s="89"/>
      <c r="BU38" s="306">
        <v>1</v>
      </c>
      <c r="BV38" s="307"/>
      <c r="BW38" s="306">
        <v>2</v>
      </c>
      <c r="BX38" s="307"/>
      <c r="BY38" s="306">
        <v>3</v>
      </c>
      <c r="BZ38" s="307"/>
      <c r="CA38" s="306">
        <v>4</v>
      </c>
      <c r="CB38" s="307"/>
      <c r="CC38" s="306">
        <v>5</v>
      </c>
      <c r="CD38" s="307"/>
      <c r="CE38" s="306">
        <v>6</v>
      </c>
      <c r="CF38" s="307"/>
      <c r="CG38" s="306">
        <v>7</v>
      </c>
      <c r="CH38" s="307"/>
      <c r="CI38" s="306">
        <v>8</v>
      </c>
      <c r="CJ38" s="307"/>
      <c r="CK38" s="306">
        <v>9</v>
      </c>
      <c r="CL38" s="307"/>
    </row>
    <row r="39" spans="18:107" ht="36" customHeight="1" thickBot="1" x14ac:dyDescent="0.3">
      <c r="V39" s="93"/>
      <c r="W39" s="87"/>
      <c r="X39" s="87"/>
      <c r="Y39" s="87"/>
      <c r="Z39" s="88"/>
      <c r="AA39" s="88"/>
      <c r="AB39" s="88"/>
      <c r="AC39" s="88"/>
      <c r="AD39" s="88"/>
      <c r="AE39" s="87"/>
      <c r="AF39" s="89"/>
      <c r="AG39" s="89"/>
      <c r="AH39" s="89"/>
      <c r="AI39" s="89"/>
      <c r="AJ39" s="89"/>
      <c r="AS39" s="93"/>
      <c r="AT39" s="87"/>
      <c r="AU39" s="87"/>
      <c r="AV39" s="87"/>
      <c r="AW39" s="88"/>
      <c r="AX39" s="88"/>
      <c r="AY39" s="88"/>
      <c r="AZ39" s="88"/>
      <c r="BA39" s="88"/>
      <c r="BB39" s="87"/>
      <c r="BC39" s="89"/>
      <c r="BD39" s="89"/>
      <c r="BE39" s="89"/>
      <c r="BF39" s="89"/>
      <c r="BG39" s="89"/>
      <c r="BU39" s="308"/>
      <c r="BV39" s="309"/>
      <c r="BW39" s="308"/>
      <c r="BX39" s="309"/>
      <c r="BY39" s="308"/>
      <c r="BZ39" s="309"/>
      <c r="CA39" s="308"/>
      <c r="CB39" s="309"/>
      <c r="CC39" s="308"/>
      <c r="CD39" s="309"/>
      <c r="CE39" s="308"/>
      <c r="CF39" s="309"/>
      <c r="CG39" s="308"/>
      <c r="CH39" s="309"/>
      <c r="CI39" s="308"/>
      <c r="CJ39" s="309"/>
      <c r="CK39" s="308"/>
      <c r="CL39" s="309"/>
    </row>
    <row r="40" spans="18:107" ht="36" customHeight="1" thickBot="1" x14ac:dyDescent="0.3">
      <c r="V40" s="93"/>
      <c r="W40" s="87"/>
      <c r="X40" s="87"/>
      <c r="Y40" s="87"/>
      <c r="Z40" s="88"/>
      <c r="AA40" s="88"/>
      <c r="AB40" s="88"/>
      <c r="AC40" s="88"/>
      <c r="AD40" s="88"/>
      <c r="AE40" s="87"/>
      <c r="AF40" s="89"/>
      <c r="AG40" s="89"/>
      <c r="AH40" s="89"/>
      <c r="AI40" s="89"/>
      <c r="AJ40" s="89"/>
      <c r="AS40" s="93"/>
      <c r="AT40" s="87"/>
      <c r="AU40" s="87"/>
      <c r="AV40" s="87"/>
      <c r="AW40" s="88"/>
      <c r="AX40" s="88"/>
      <c r="AY40" s="88"/>
      <c r="AZ40" s="88"/>
      <c r="BA40" s="88"/>
      <c r="BB40" s="87"/>
      <c r="BC40" s="89"/>
      <c r="BD40" s="89"/>
      <c r="BE40" s="89"/>
      <c r="BF40" s="89"/>
      <c r="BG40" s="89"/>
    </row>
    <row r="41" spans="18:107" ht="36" customHeight="1" thickBot="1" x14ac:dyDescent="0.3">
      <c r="V41" s="93"/>
      <c r="W41" s="87"/>
      <c r="X41" s="87"/>
      <c r="Y41" s="87"/>
      <c r="Z41" s="88"/>
      <c r="AA41" s="88"/>
      <c r="AB41" s="88"/>
      <c r="AC41" s="88"/>
      <c r="AD41" s="88"/>
      <c r="AE41" s="87"/>
      <c r="AF41" s="89"/>
      <c r="AG41" s="89"/>
      <c r="AH41" s="89"/>
      <c r="AI41" s="89"/>
      <c r="AJ41" s="89"/>
      <c r="AS41" s="93"/>
      <c r="AT41" s="87"/>
      <c r="AU41" s="87"/>
      <c r="AV41" s="87"/>
      <c r="AW41" s="88"/>
      <c r="AX41" s="88"/>
      <c r="AY41" s="88"/>
      <c r="AZ41" s="88"/>
      <c r="BA41" s="88"/>
      <c r="BB41" s="87"/>
      <c r="BC41" s="89"/>
      <c r="BD41" s="89"/>
      <c r="BE41" s="89"/>
      <c r="BF41" s="89"/>
      <c r="BG41" s="89"/>
    </row>
    <row r="42" spans="18:107" ht="36" customHeight="1" thickBot="1" x14ac:dyDescent="0.3">
      <c r="V42" s="93"/>
      <c r="W42" s="87"/>
      <c r="X42" s="87"/>
      <c r="Y42" s="87"/>
      <c r="Z42" s="88"/>
      <c r="AA42" s="88"/>
      <c r="AB42" s="88"/>
      <c r="AC42" s="88"/>
      <c r="AD42" s="88"/>
      <c r="AE42" s="87"/>
      <c r="AF42" s="89"/>
      <c r="AG42" s="89"/>
      <c r="AH42" s="89"/>
      <c r="AI42" s="89"/>
      <c r="AJ42" s="89"/>
      <c r="AS42" s="93"/>
      <c r="AT42" s="87"/>
      <c r="AU42" s="87"/>
      <c r="AV42" s="87"/>
      <c r="AW42" s="88"/>
      <c r="AX42" s="88"/>
      <c r="AY42" s="88"/>
      <c r="AZ42" s="88"/>
      <c r="BA42" s="88"/>
      <c r="BB42" s="87"/>
      <c r="BC42" s="89"/>
      <c r="BD42" s="89"/>
      <c r="BE42" s="89"/>
      <c r="BF42" s="89"/>
      <c r="BG42" s="89"/>
    </row>
    <row r="43" spans="18:107" ht="36" customHeight="1" x14ac:dyDescent="0.25">
      <c r="W43" s="86">
        <v>55</v>
      </c>
      <c r="X43" s="86">
        <v>56</v>
      </c>
      <c r="Y43" s="86">
        <v>57</v>
      </c>
      <c r="Z43" s="86">
        <v>58</v>
      </c>
      <c r="AA43" s="86">
        <v>59</v>
      </c>
      <c r="AB43" s="86">
        <v>60</v>
      </c>
      <c r="AC43" s="86">
        <v>61</v>
      </c>
      <c r="AD43" s="86">
        <v>62</v>
      </c>
      <c r="AE43" s="86">
        <v>63</v>
      </c>
      <c r="AF43" s="86">
        <v>64</v>
      </c>
      <c r="AG43" s="86">
        <v>65</v>
      </c>
      <c r="AH43" s="86">
        <v>66</v>
      </c>
      <c r="AI43" s="86">
        <v>67</v>
      </c>
      <c r="AJ43" s="86">
        <v>68</v>
      </c>
      <c r="AT43" s="86">
        <v>55</v>
      </c>
      <c r="AU43" s="86">
        <v>56</v>
      </c>
      <c r="AV43" s="86">
        <v>57</v>
      </c>
      <c r="AW43" s="86">
        <v>58</v>
      </c>
      <c r="AX43" s="86">
        <v>59</v>
      </c>
      <c r="AY43" s="86">
        <v>60</v>
      </c>
      <c r="AZ43" s="86">
        <v>61</v>
      </c>
      <c r="BA43" s="86">
        <v>62</v>
      </c>
      <c r="BB43" s="86">
        <v>63</v>
      </c>
      <c r="BC43" s="86">
        <v>64</v>
      </c>
      <c r="BD43" s="86">
        <v>65</v>
      </c>
      <c r="BE43" s="86">
        <v>66</v>
      </c>
      <c r="BF43" s="86">
        <v>67</v>
      </c>
      <c r="BG43" s="86">
        <v>68</v>
      </c>
    </row>
    <row r="46" spans="18:107" ht="36" customHeight="1" thickBot="1" x14ac:dyDescent="0.3">
      <c r="AA46" s="330" t="s">
        <v>202</v>
      </c>
      <c r="AB46" s="330"/>
      <c r="AC46" s="330"/>
      <c r="AD46" s="330"/>
      <c r="AG46" s="330" t="s">
        <v>203</v>
      </c>
      <c r="AH46" s="330"/>
      <c r="AI46" s="330"/>
      <c r="AJ46" s="330"/>
      <c r="AK46" s="330"/>
      <c r="AL46" s="330"/>
      <c r="AM46" s="330"/>
      <c r="AN46" s="330"/>
      <c r="AQ46" s="331" t="s">
        <v>204</v>
      </c>
      <c r="AR46" s="331"/>
      <c r="AS46" s="331"/>
      <c r="AT46" s="331"/>
      <c r="AU46" s="331"/>
      <c r="AV46" s="331"/>
      <c r="AW46" s="331"/>
      <c r="AX46" s="331"/>
    </row>
    <row r="47" spans="18:107" ht="36" customHeight="1" thickBot="1" x14ac:dyDescent="0.3">
      <c r="AA47" s="312"/>
      <c r="AB47" s="313"/>
      <c r="AC47" s="313"/>
      <c r="AD47" s="314"/>
      <c r="AG47" s="315" t="s">
        <v>155</v>
      </c>
      <c r="AH47" s="316"/>
      <c r="AI47" s="316"/>
      <c r="AJ47" s="316"/>
      <c r="AK47" s="316"/>
      <c r="AL47" s="316"/>
      <c r="AM47" s="316"/>
      <c r="AN47" s="317"/>
      <c r="AQ47" s="94"/>
      <c r="AR47" s="321" t="s">
        <v>205</v>
      </c>
      <c r="AS47" s="321"/>
      <c r="AT47" s="321"/>
      <c r="AU47" s="321"/>
      <c r="AV47" s="321"/>
      <c r="AW47" s="321"/>
      <c r="AX47" s="95"/>
    </row>
    <row r="48" spans="18:107" ht="36" customHeight="1" x14ac:dyDescent="0.25">
      <c r="AA48" s="96"/>
      <c r="AB48" s="324" t="s">
        <v>206</v>
      </c>
      <c r="AC48" s="325"/>
      <c r="AD48" s="97"/>
      <c r="AG48" s="318"/>
      <c r="AH48" s="319"/>
      <c r="AI48" s="319"/>
      <c r="AJ48" s="319"/>
      <c r="AK48" s="319"/>
      <c r="AL48" s="319"/>
      <c r="AM48" s="319"/>
      <c r="AN48" s="320"/>
      <c r="AQ48" s="98"/>
      <c r="AR48" s="322"/>
      <c r="AS48" s="322"/>
      <c r="AT48" s="322"/>
      <c r="AU48" s="322"/>
      <c r="AV48" s="322"/>
      <c r="AW48" s="322"/>
      <c r="AX48" s="99"/>
    </row>
    <row r="49" spans="27:50" ht="36" customHeight="1" thickBot="1" x14ac:dyDescent="0.3">
      <c r="AA49" s="96"/>
      <c r="AB49" s="326"/>
      <c r="AC49" s="327"/>
      <c r="AD49" s="97"/>
      <c r="AG49" s="318"/>
      <c r="AH49" s="319"/>
      <c r="AI49" s="319"/>
      <c r="AJ49" s="319"/>
      <c r="AK49" s="319"/>
      <c r="AL49" s="319"/>
      <c r="AM49" s="319"/>
      <c r="AN49" s="320"/>
      <c r="AQ49" s="98"/>
      <c r="AR49" s="322"/>
      <c r="AS49" s="322"/>
      <c r="AT49" s="322"/>
      <c r="AU49" s="322"/>
      <c r="AV49" s="322"/>
      <c r="AW49" s="322"/>
      <c r="AX49" s="99"/>
    </row>
    <row r="50" spans="27:50" ht="36" customHeight="1" thickBot="1" x14ac:dyDescent="0.3">
      <c r="AA50" s="100"/>
      <c r="AB50" s="101"/>
      <c r="AC50" s="101"/>
      <c r="AD50" s="102"/>
      <c r="AG50" s="318"/>
      <c r="AH50" s="319"/>
      <c r="AI50" s="319"/>
      <c r="AJ50" s="319"/>
      <c r="AK50" s="319"/>
      <c r="AL50" s="319"/>
      <c r="AM50" s="319"/>
      <c r="AN50" s="320"/>
      <c r="AQ50" s="98"/>
      <c r="AR50" s="322"/>
      <c r="AS50" s="322"/>
      <c r="AT50" s="322"/>
      <c r="AU50" s="322"/>
      <c r="AV50" s="322"/>
      <c r="AW50" s="322"/>
      <c r="AX50" s="99"/>
    </row>
    <row r="51" spans="27:50" ht="36" customHeight="1" x14ac:dyDescent="0.25">
      <c r="AG51" s="318"/>
      <c r="AH51" s="319"/>
      <c r="AI51" s="319"/>
      <c r="AJ51" s="319"/>
      <c r="AK51" s="319"/>
      <c r="AL51" s="319"/>
      <c r="AM51" s="319"/>
      <c r="AN51" s="320"/>
      <c r="AQ51" s="98"/>
      <c r="AR51" s="322"/>
      <c r="AS51" s="322"/>
      <c r="AT51" s="322"/>
      <c r="AU51" s="322"/>
      <c r="AV51" s="322"/>
      <c r="AW51" s="322"/>
      <c r="AX51" s="99"/>
    </row>
    <row r="52" spans="27:50" ht="36" customHeight="1" thickBot="1" x14ac:dyDescent="0.3">
      <c r="AG52" s="318"/>
      <c r="AH52" s="319"/>
      <c r="AI52" s="319"/>
      <c r="AJ52" s="319"/>
      <c r="AK52" s="319"/>
      <c r="AL52" s="319"/>
      <c r="AM52" s="319"/>
      <c r="AN52" s="320"/>
      <c r="AQ52" s="98"/>
      <c r="AR52" s="322"/>
      <c r="AS52" s="322"/>
      <c r="AT52" s="322"/>
      <c r="AU52" s="322"/>
      <c r="AV52" s="322"/>
      <c r="AW52" s="322"/>
      <c r="AX52" s="99"/>
    </row>
    <row r="53" spans="27:50" ht="36" customHeight="1" x14ac:dyDescent="0.25">
      <c r="AG53" s="103"/>
      <c r="AH53" s="104"/>
      <c r="AI53" s="104"/>
      <c r="AJ53" s="104"/>
      <c r="AK53" s="104"/>
      <c r="AL53" s="104"/>
      <c r="AM53" s="315" t="s">
        <v>207</v>
      </c>
      <c r="AN53" s="317"/>
      <c r="AQ53" s="98"/>
      <c r="AR53" s="322"/>
      <c r="AS53" s="322"/>
      <c r="AT53" s="322"/>
      <c r="AU53" s="322"/>
      <c r="AV53" s="322"/>
      <c r="AW53" s="322"/>
      <c r="AX53" s="99"/>
    </row>
    <row r="54" spans="27:50" ht="36" customHeight="1" thickBot="1" x14ac:dyDescent="0.3">
      <c r="AG54" s="105"/>
      <c r="AH54" s="106"/>
      <c r="AI54" s="106"/>
      <c r="AJ54" s="106"/>
      <c r="AK54" s="106"/>
      <c r="AL54" s="106"/>
      <c r="AM54" s="328"/>
      <c r="AN54" s="329"/>
      <c r="AQ54" s="107"/>
      <c r="AR54" s="323"/>
      <c r="AS54" s="323"/>
      <c r="AT54" s="323"/>
      <c r="AU54" s="323"/>
      <c r="AV54" s="323"/>
      <c r="AW54" s="323"/>
      <c r="AX54" s="108"/>
    </row>
  </sheetData>
  <mergeCells count="291">
    <mergeCell ref="AA47:AD47"/>
    <mergeCell ref="AG47:AN52"/>
    <mergeCell ref="AR47:AW54"/>
    <mergeCell ref="AB48:AC49"/>
    <mergeCell ref="AM53:AN54"/>
    <mergeCell ref="CG38:CH39"/>
    <mergeCell ref="CI38:CJ39"/>
    <mergeCell ref="CK38:CL39"/>
    <mergeCell ref="AA46:AD46"/>
    <mergeCell ref="AG46:AN46"/>
    <mergeCell ref="AQ46:AX46"/>
    <mergeCell ref="BU38:BV39"/>
    <mergeCell ref="BW38:BX39"/>
    <mergeCell ref="BY38:BZ39"/>
    <mergeCell ref="CA38:CB39"/>
    <mergeCell ref="CC38:CD39"/>
    <mergeCell ref="CE38:CF39"/>
    <mergeCell ref="CX34:CY35"/>
    <mergeCell ref="CZ34:DA35"/>
    <mergeCell ref="DB34:DC35"/>
    <mergeCell ref="S35:V35"/>
    <mergeCell ref="AP35:AS35"/>
    <mergeCell ref="S36:V36"/>
    <mergeCell ref="AP36:AS36"/>
    <mergeCell ref="CL34:CM35"/>
    <mergeCell ref="CN34:CO35"/>
    <mergeCell ref="CP34:CQ35"/>
    <mergeCell ref="CR34:CS35"/>
    <mergeCell ref="CT34:CU35"/>
    <mergeCell ref="CV34:CW35"/>
    <mergeCell ref="W33:AJ33"/>
    <mergeCell ref="AT33:BG33"/>
    <mergeCell ref="S34:V34"/>
    <mergeCell ref="AP34:AS34"/>
    <mergeCell ref="CJ34:CK35"/>
    <mergeCell ref="AL28:AM29"/>
    <mergeCell ref="AN28:AO29"/>
    <mergeCell ref="AP28:AQ29"/>
    <mergeCell ref="AR28:AR29"/>
    <mergeCell ref="AS28:BL29"/>
    <mergeCell ref="BM28:BM29"/>
    <mergeCell ref="Z28:AA29"/>
    <mergeCell ref="AB28:AC29"/>
    <mergeCell ref="AD28:AE29"/>
    <mergeCell ref="AF28:AG29"/>
    <mergeCell ref="AH28:AI29"/>
    <mergeCell ref="AJ28:AK29"/>
    <mergeCell ref="O28:P29"/>
    <mergeCell ref="Q28:R29"/>
    <mergeCell ref="S28:T29"/>
    <mergeCell ref="U28:V29"/>
    <mergeCell ref="W28:W29"/>
    <mergeCell ref="X28:Y29"/>
    <mergeCell ref="X27:AG27"/>
    <mergeCell ref="AS27:BB27"/>
    <mergeCell ref="BN27:BW27"/>
    <mergeCell ref="BN28:BO29"/>
    <mergeCell ref="B28:B29"/>
    <mergeCell ref="C28:D29"/>
    <mergeCell ref="E28:F29"/>
    <mergeCell ref="G28:H29"/>
    <mergeCell ref="I28:J29"/>
    <mergeCell ref="K28:L29"/>
    <mergeCell ref="M28:N29"/>
    <mergeCell ref="CD24:CE25"/>
    <mergeCell ref="CF24:CG25"/>
    <mergeCell ref="C26:L26"/>
    <mergeCell ref="M26:M27"/>
    <mergeCell ref="X26:AG26"/>
    <mergeCell ref="AH26:AH27"/>
    <mergeCell ref="AS26:BB26"/>
    <mergeCell ref="BC26:BC27"/>
    <mergeCell ref="BN26:BW26"/>
    <mergeCell ref="BX26:BX27"/>
    <mergeCell ref="BR24:BS25"/>
    <mergeCell ref="BT24:BU25"/>
    <mergeCell ref="BV24:BW25"/>
    <mergeCell ref="BX24:BY25"/>
    <mergeCell ref="BZ24:CA25"/>
    <mergeCell ref="CB24:CC25"/>
    <mergeCell ref="BE24:BF25"/>
    <mergeCell ref="CD21:CE22"/>
    <mergeCell ref="CF21:CG22"/>
    <mergeCell ref="C24:D25"/>
    <mergeCell ref="E24:F25"/>
    <mergeCell ref="G24:H25"/>
    <mergeCell ref="I24:J25"/>
    <mergeCell ref="K24:L25"/>
    <mergeCell ref="M24:N25"/>
    <mergeCell ref="O24:P25"/>
    <mergeCell ref="Q24:R25"/>
    <mergeCell ref="BR21:BS22"/>
    <mergeCell ref="BT21:BU22"/>
    <mergeCell ref="BV21:BW22"/>
    <mergeCell ref="BX21:BY22"/>
    <mergeCell ref="BZ21:CA22"/>
    <mergeCell ref="CB21:CC22"/>
    <mergeCell ref="BG21:BH22"/>
    <mergeCell ref="BI21:BJ22"/>
    <mergeCell ref="BG24:BH25"/>
    <mergeCell ref="BI24:BJ25"/>
    <mergeCell ref="BK24:BL25"/>
    <mergeCell ref="BN24:BO25"/>
    <mergeCell ref="BP24:BQ25"/>
    <mergeCell ref="AS24:AT25"/>
    <mergeCell ref="BN21:BO22"/>
    <mergeCell ref="BP21:BQ22"/>
    <mergeCell ref="AU21:AV22"/>
    <mergeCell ref="AW21:AX22"/>
    <mergeCell ref="AY21:AZ22"/>
    <mergeCell ref="BA21:BB22"/>
    <mergeCell ref="BC21:BD22"/>
    <mergeCell ref="BE21:BF22"/>
    <mergeCell ref="X24:Y25"/>
    <mergeCell ref="Z24:AA25"/>
    <mergeCell ref="AB24:AC25"/>
    <mergeCell ref="AD24:AE25"/>
    <mergeCell ref="AF24:AG25"/>
    <mergeCell ref="AH24:AI25"/>
    <mergeCell ref="AU24:AV25"/>
    <mergeCell ref="AW24:AX25"/>
    <mergeCell ref="AY24:AZ25"/>
    <mergeCell ref="BA24:BB25"/>
    <mergeCell ref="BC24:BD25"/>
    <mergeCell ref="AP21:AQ22"/>
    <mergeCell ref="AR21:AR27"/>
    <mergeCell ref="AS21:AT22"/>
    <mergeCell ref="AJ24:AK25"/>
    <mergeCell ref="AL24:AM25"/>
    <mergeCell ref="AN24:AO25"/>
    <mergeCell ref="AP24:AQ25"/>
    <mergeCell ref="BK21:BL22"/>
    <mergeCell ref="BM21:BM27"/>
    <mergeCell ref="Q21:R22"/>
    <mergeCell ref="S21:T22"/>
    <mergeCell ref="U21:V22"/>
    <mergeCell ref="W21:W27"/>
    <mergeCell ref="S24:T25"/>
    <mergeCell ref="U24:V25"/>
    <mergeCell ref="AJ21:AK22"/>
    <mergeCell ref="AL21:AM22"/>
    <mergeCell ref="AN21:AO22"/>
    <mergeCell ref="X21:Y22"/>
    <mergeCell ref="Z21:AA22"/>
    <mergeCell ref="AB21:AC22"/>
    <mergeCell ref="AD21:AE22"/>
    <mergeCell ref="AF21:AG22"/>
    <mergeCell ref="AH21:AI22"/>
    <mergeCell ref="AN19:AO20"/>
    <mergeCell ref="AP19:AQ20"/>
    <mergeCell ref="O19:P20"/>
    <mergeCell ref="Q19:R20"/>
    <mergeCell ref="S19:T20"/>
    <mergeCell ref="U19:V20"/>
    <mergeCell ref="X19:Y20"/>
    <mergeCell ref="Z19:AA20"/>
    <mergeCell ref="C19:D20"/>
    <mergeCell ref="E19:F20"/>
    <mergeCell ref="G19:H20"/>
    <mergeCell ref="I19:J20"/>
    <mergeCell ref="K19:L20"/>
    <mergeCell ref="M19:N20"/>
    <mergeCell ref="AB19:AC20"/>
    <mergeCell ref="AD19:AE20"/>
    <mergeCell ref="AF19:AG20"/>
    <mergeCell ref="AH19:AI20"/>
    <mergeCell ref="AJ19:AK20"/>
    <mergeCell ref="AL19:AM20"/>
    <mergeCell ref="B21:B27"/>
    <mergeCell ref="C21:D22"/>
    <mergeCell ref="E21:F22"/>
    <mergeCell ref="G21:H22"/>
    <mergeCell ref="I21:J22"/>
    <mergeCell ref="K21:L22"/>
    <mergeCell ref="C27:L27"/>
    <mergeCell ref="B16:B20"/>
    <mergeCell ref="C16:D17"/>
    <mergeCell ref="E16:V17"/>
    <mergeCell ref="M21:N22"/>
    <mergeCell ref="O21:P22"/>
    <mergeCell ref="BM17:BM18"/>
    <mergeCell ref="BN17:CG18"/>
    <mergeCell ref="AS18:BL18"/>
    <mergeCell ref="BB14:BC15"/>
    <mergeCell ref="BS14:BS15"/>
    <mergeCell ref="BZ14:CA15"/>
    <mergeCell ref="CB14:CC15"/>
    <mergeCell ref="AR19:AR20"/>
    <mergeCell ref="AS19:CD20"/>
    <mergeCell ref="CE19:CE20"/>
    <mergeCell ref="CF19:CG20"/>
    <mergeCell ref="AB14:AC15"/>
    <mergeCell ref="BS12:BS13"/>
    <mergeCell ref="BZ12:CA13"/>
    <mergeCell ref="CB12:CC13"/>
    <mergeCell ref="W16:W20"/>
    <mergeCell ref="X16:Y17"/>
    <mergeCell ref="Z16:AQ17"/>
    <mergeCell ref="AP14:AQ15"/>
    <mergeCell ref="AR14:AS15"/>
    <mergeCell ref="AT14:AU15"/>
    <mergeCell ref="AV14:AW15"/>
    <mergeCell ref="AX14:AY15"/>
    <mergeCell ref="AZ14:BA15"/>
    <mergeCell ref="AD14:AE15"/>
    <mergeCell ref="AF14:AG15"/>
    <mergeCell ref="AH14:AI15"/>
    <mergeCell ref="AJ14:AK15"/>
    <mergeCell ref="AL14:AM15"/>
    <mergeCell ref="AN14:AO15"/>
    <mergeCell ref="AR16:AR18"/>
    <mergeCell ref="AS16:AT17"/>
    <mergeCell ref="AU16:AV17"/>
    <mergeCell ref="AW16:AX17"/>
    <mergeCell ref="BN16:CG16"/>
    <mergeCell ref="M14:N15"/>
    <mergeCell ref="O14:P15"/>
    <mergeCell ref="BZ10:CA11"/>
    <mergeCell ref="CB10:CC11"/>
    <mergeCell ref="AO9:AP10"/>
    <mergeCell ref="AQ9:AR10"/>
    <mergeCell ref="AS9:AT10"/>
    <mergeCell ref="AU9:AV10"/>
    <mergeCell ref="AW9:AX10"/>
    <mergeCell ref="AY9:AZ10"/>
    <mergeCell ref="AC9:AD10"/>
    <mergeCell ref="AE9:AF10"/>
    <mergeCell ref="AG9:AH10"/>
    <mergeCell ref="AI9:AJ10"/>
    <mergeCell ref="AK9:AL10"/>
    <mergeCell ref="AM9:AN10"/>
    <mergeCell ref="Q9:R10"/>
    <mergeCell ref="S9:T10"/>
    <mergeCell ref="U9:V10"/>
    <mergeCell ref="Q14:R15"/>
    <mergeCell ref="S14:T15"/>
    <mergeCell ref="U14:V15"/>
    <mergeCell ref="X14:Y15"/>
    <mergeCell ref="Z14:AA15"/>
    <mergeCell ref="B11:B15"/>
    <mergeCell ref="C11:D12"/>
    <mergeCell ref="E11:V12"/>
    <mergeCell ref="W11:W15"/>
    <mergeCell ref="X11:Y12"/>
    <mergeCell ref="Z11:BA12"/>
    <mergeCell ref="BN10:BO11"/>
    <mergeCell ref="BP10:BQ11"/>
    <mergeCell ref="BR10:BS11"/>
    <mergeCell ref="BA9:BB10"/>
    <mergeCell ref="BC9:BD10"/>
    <mergeCell ref="BE9:BF10"/>
    <mergeCell ref="BG9:BH10"/>
    <mergeCell ref="BI9:BJ10"/>
    <mergeCell ref="BL10:BM11"/>
    <mergeCell ref="BB11:BC12"/>
    <mergeCell ref="BD12:BD13"/>
    <mergeCell ref="BK12:BL13"/>
    <mergeCell ref="BM12:BN13"/>
    <mergeCell ref="C14:D15"/>
    <mergeCell ref="E14:F15"/>
    <mergeCell ref="G14:H15"/>
    <mergeCell ref="I14:J15"/>
    <mergeCell ref="K14:L15"/>
    <mergeCell ref="CF6:CG7"/>
    <mergeCell ref="C9:D10"/>
    <mergeCell ref="E9:F10"/>
    <mergeCell ref="G9:H10"/>
    <mergeCell ref="I9:J10"/>
    <mergeCell ref="K9:L10"/>
    <mergeCell ref="M9:N10"/>
    <mergeCell ref="O9:P10"/>
    <mergeCell ref="CD10:CE11"/>
    <mergeCell ref="CF10:CG11"/>
    <mergeCell ref="BT10:BU11"/>
    <mergeCell ref="BV10:BW11"/>
    <mergeCell ref="BX10:BY11"/>
    <mergeCell ref="D2:E3"/>
    <mergeCell ref="F2:CC3"/>
    <mergeCell ref="CD2:CE3"/>
    <mergeCell ref="B4:C5"/>
    <mergeCell ref="B6:B10"/>
    <mergeCell ref="C6:D7"/>
    <mergeCell ref="E6:BH7"/>
    <mergeCell ref="BI6:BJ7"/>
    <mergeCell ref="BK6:BK10"/>
    <mergeCell ref="BL6:BM7"/>
    <mergeCell ref="W9:X10"/>
    <mergeCell ref="Y9:Z10"/>
    <mergeCell ref="AA9:AB10"/>
    <mergeCell ref="BN6:CC7"/>
    <mergeCell ref="CD6:CE7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布局图V2</vt:lpstr>
      <vt:lpstr>Sheet1</vt:lpstr>
      <vt:lpstr>PARTY</vt:lpstr>
      <vt:lpstr>ENVIRONMENT</vt:lpstr>
      <vt:lpstr>PLAYER_STATUS</vt:lpstr>
      <vt:lpstr>TARGET_STATUS</vt:lpstr>
      <vt:lpstr>FOCUS_TARGET</vt:lpstr>
      <vt:lpstr>M.A.T.R.I.X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liantian</dc:creator>
  <cp:lastModifiedBy>Fenix Titan</cp:lastModifiedBy>
  <dcterms:created xsi:type="dcterms:W3CDTF">2023-05-12T11:15:00Z</dcterms:created>
  <dcterms:modified xsi:type="dcterms:W3CDTF">2026-07-29T16:05:49Z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DEE605E1DF3D44A9B8FB531118B0582C_12</vt:lpwstr>
  </property>
  <property fmtid="{D5CDD505-2E9C-101B-9397-08002B2CF9AE}" pid="4" name="CalculationRule">
    <vt:i4>0</vt:i4>
  </property>
</Properties>
</file>